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29cf8faae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161c9a5f702f46c7"/>
    <x:sheet xmlns:r="http://schemas.openxmlformats.org/officeDocument/2006/relationships" name="Jogos_MataMata" sheetId="2" r:id="Rcd484018e88a48b7"/>
    <x:sheet xmlns:r="http://schemas.openxmlformats.org/officeDocument/2006/relationships" name="Palpites_MataMata" sheetId="3" r:id="Rded999f3afa14eed"/>
    <x:sheet xmlns:r="http://schemas.openxmlformats.org/officeDocument/2006/relationships" name="Resumo" sheetId="4" r:id="R32ff6100bd0941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7">
    <x:font>
      <x:sz val="11"/>
      <x:name val="Carlito"/>
    </x:font>
    <x:font>
      <x:b/>
      <x:sz val="18"/>
      <x:color rgb="FF00E5FF"/>
      <x:name val="Carlito"/>
    </x:font>
    <x:font>
      <x:b/>
      <x:sz val="11"/>
      <x:color rgb="FFFFF04A"/>
      <x:name val="Carlito"/>
    </x:font>
    <x:font>
      <x:b/>
      <x:sz val="11"/>
      <x:color rgb="FFFFFFFF"/>
      <x:name val="Carlito"/>
    </x:font>
    <x:font>
      <x:b/>
      <x:sz val="16"/>
      <x:color rgb="FFFFF04A"/>
      <x:name val="Carlito"/>
    </x:font>
    <x:font>
      <x:b/>
      <x:sz val="11"/>
      <x:color rgb="FFD9FFF0"/>
      <x:name val="Carlito"/>
    </x:font>
    <x:font>
      <x:b/>
      <x:sz val="11"/>
      <x:color rgb="FF082F4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50B09"/>
      </x:patternFill>
    </x:fill>
    <x:fill>
      <x:patternFill patternType="solid">
        <x:fgColor rgb="FF0A2018"/>
      </x:patternFill>
    </x:fill>
    <x:fill>
      <x:patternFill patternType="solid">
        <x:fgColor rgb="FF063F35"/>
      </x:patternFill>
    </x:fill>
    <x:fill>
      <x:patternFill patternType="solid">
        <x:fgColor rgb="FF14532D"/>
      </x:patternFill>
    </x:fill>
    <x:fill>
      <x:patternFill patternType="solid">
        <x:fgColor rgb="FFE0F2FE"/>
      </x:patternFill>
    </x:fill>
  </x:fills>
  <x:borders count="10">
    <x:border/>
    <x:border>
      <x:right style="thin">
        <x:color rgb="FFD9E2E0"/>
      </x:right>
      <x:bottom style="thin">
        <x:color rgb="FFD9E2E0"/>
      </x:bottom>
    </x:border>
    <x:border>
      <x:left style="thin">
        <x:color rgb="FFD9E2E0"/>
      </x:left>
      <x:right style="thin">
        <x:color rgb="FFD9E2E0"/>
      </x:right>
      <x:bottom style="thin">
        <x:color rgb="FFD9E2E0"/>
      </x:bottom>
    </x:border>
    <x:border>
      <x:left style="thin">
        <x:color rgb="FFD9E2E0"/>
      </x:left>
      <x:bottom style="thin">
        <x:color rgb="FFD9E2E0"/>
      </x:bottom>
    </x:border>
    <x:border>
      <x:right style="thin">
        <x:color rgb="FFD9E2E0"/>
      </x:right>
      <x:top style="thin">
        <x:color rgb="FFD9E2E0"/>
      </x:top>
      <x:bottom style="thin">
        <x:color rgb="FFD9E2E0"/>
      </x:bottom>
    </x:border>
    <x:border>
      <x:left style="thin">
        <x:color rgb="FFD9E2E0"/>
      </x:left>
      <x:right style="thin">
        <x:color rgb="FFD9E2E0"/>
      </x:right>
      <x:top style="thin">
        <x:color rgb="FFD9E2E0"/>
      </x:top>
      <x:bottom style="thin">
        <x:color rgb="FFD9E2E0"/>
      </x:bottom>
    </x:border>
    <x:border>
      <x:left style="thin">
        <x:color rgb="FFD9E2E0"/>
      </x:left>
      <x:top style="thin">
        <x:color rgb="FFD9E2E0"/>
      </x:top>
      <x:bottom style="thin">
        <x:color rgb="FFD9E2E0"/>
      </x:bottom>
    </x:border>
    <x:border>
      <x:right style="thin">
        <x:color rgb="FFD9E2E0"/>
      </x:right>
      <x:top style="thin">
        <x:color rgb="FFD9E2E0"/>
      </x:top>
    </x:border>
    <x:border>
      <x:left style="thin">
        <x:color rgb="FFD9E2E0"/>
      </x:left>
      <x:right style="thin">
        <x:color rgb="FFD9E2E0"/>
      </x:right>
      <x:top style="thin">
        <x:color rgb="FFD9E2E0"/>
      </x:top>
    </x:border>
    <x:border>
      <x:left style="thin">
        <x:color rgb="FFD9E2E0"/>
      </x:left>
      <x:top style="thin">
        <x:color rgb="FFD9E2E0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3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a4dcb2a55243a9" /><Relationship Type="http://schemas.openxmlformats.org/officeDocument/2006/relationships/theme" Target="/xl/theme/theme1.xml" Id="R337e23164d8a40b4" /><Relationship Type="http://schemas.openxmlformats.org/officeDocument/2006/relationships/sharedStrings" Target="/xl/sharedStrings.xml" Id="Rad22e80ace214f78" /><Relationship Type="http://schemas.openxmlformats.org/officeDocument/2006/relationships/worksheet" Target="/xl/worksheets/sheet1.xml" Id="R161c9a5f702f46c7" /><Relationship Type="http://schemas.openxmlformats.org/officeDocument/2006/relationships/worksheet" Target="/xl/worksheets/sheet2.xml" Id="Rcd484018e88a48b7" /><Relationship Type="http://schemas.openxmlformats.org/officeDocument/2006/relationships/worksheet" Target="/xl/worksheets/sheet3.xml" Id="Rded999f3afa14eed" /><Relationship Type="http://schemas.openxmlformats.org/officeDocument/2006/relationships/worksheet" Target="/xl/worksheets/sheet4.xml" Id="R32ff6100bd0941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82" hidden="0" customWidth="1"/>
  </x:cols>
  <x:sheetData>
    <x:row r="1">
      <x:c r="A1" s="2" t="str">
        <x:v>Mata-mata Eggbrothers 26</x:v>
      </x:c>
    </x:row>
    <x:row r="3">
      <x:c r="A3" s="4" t="str">
        <x:v>Como usar</x:v>
      </x:c>
      <x:c r="B3" s="5" t="str">
        <x:v>Preencha resultados em Jogos_MataMata. As próximas fases puxam vencedores/perdedores automaticamente.</x:v>
      </x:c>
    </x:row>
    <x:row r="4">
      <x:c r="A4" s="4" t="str">
        <x:v>Palpites</x:v>
      </x:c>
      <x:c r="B4" s="5" t="str">
        <x:v>Cada participante preenche Palpites_MataMata com match_id e placar.</x:v>
      </x:c>
    </x:row>
    <x:row r="5">
      <x:c r="A5" s="4" t="str">
        <x:v>Bloqueio</x:v>
      </x:c>
      <x:c r="B5" s="5" t="str">
        <x:v>A coluna locked vira SIM quando pred_home e pred_away estão preenchidos. Para bloquear edição de verdade, proteja essas células no Google Sheets.</x:v>
      </x:c>
    </x:row>
    <x:row r="6">
      <x:c r="A6" s="4" t="str">
        <x:v>Pontuação mata-mata</x:v>
      </x:c>
      <x:c r="B6" s="5" t="str">
        <x:v>3 pontos se acertar o vencedor. 8 pontos se acertar vencedor e diferença de gols.</x:v>
      </x:c>
    </x:row>
    <x:row r="7">
      <x:c r="A7" s="4" t="str">
        <x:v>Site</x:v>
      </x:c>
      <x:c r="B7" s="5" t="str">
        <x:v>Publique/exporte Jogos_MataMata e Palpites_MataMata como CSV para alimentar a aba Mata-Mata.</x:v>
      </x:c>
    </x:row>
    <x:row r="8">
      <x:c r="A8" s="4" t="str">
        <x:v>Status</x:v>
      </x:c>
      <x:c r="B8" s="5" t="str">
        <x:v>Definido: times confirmados. Parcial/Pendente: ainda depende de jogos anteriores ou grupos.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30000114440918" hidden="0" customWidth="1"/>
    <x:col min="2" max="2" width="15.130000114440918" hidden="0" customWidth="1"/>
    <x:col min="3" max="3" width="3.880000114440918" hidden="0" customWidth="1"/>
    <x:col min="4" max="4" width="24" hidden="0" customWidth="1"/>
    <x:col min="5" max="5" width="24" hidden="0" customWidth="1"/>
    <x:col min="6" max="6" width="8.880000114440918" hidden="0" customWidth="1"/>
    <x:col min="7" max="7" width="11.25" hidden="0" customWidth="1"/>
    <x:col min="8" max="8" width="8.5" hidden="0" customWidth="1"/>
    <x:col min="9" max="9" width="10.75" hidden="0" customWidth="1"/>
    <x:col min="10" max="10" width="24" hidden="0" customWidth="1"/>
    <x:col min="11" max="11" width="24" hidden="0" customWidth="1"/>
    <x:col min="12" max="12" width="9.630000114440918" hidden="0" customWidth="1"/>
    <x:col min="13" max="13" width="4" hidden="0" customWidth="1"/>
    <x:col min="14" max="14" width="4" hidden="0" customWidth="1"/>
    <x:col min="15" max="15" width="12.25" hidden="0" customWidth="1"/>
    <x:col min="16" max="16" width="11" hidden="0" customWidth="1"/>
    <x:col min="17" max="17" width="7.630000114440918" hidden="0" customWidth="1"/>
    <x:col min="18" max="18" width="7.630000114440918" hidden="0" customWidth="1"/>
    <x:col min="19" max="19" width="8.75" hidden="0" customWidth="1"/>
  </x:cols>
  <x:sheetData>
    <x:row r="1">
      <x:c r="A1" s="8" t="str">
        <x:v>match_id</x:v>
      </x:c>
      <x:c r="B1" s="8" t="str">
        <x:v>fase</x:v>
      </x:c>
      <x:c r="C1" s="8" t="str">
        <x:v>jogo</x:v>
      </x:c>
      <x:c r="D1" s="8" t="str">
        <x:v>mandante_base</x:v>
      </x:c>
      <x:c r="E1" s="8" t="str">
        <x:v>visitante_base</x:v>
      </x:c>
      <x:c r="F1" s="8" t="str">
        <x:v>tipo_home</x:v>
      </x:c>
      <x:c r="G1" s="8" t="str">
        <x:v>origem_home</x:v>
      </x:c>
      <x:c r="H1" s="8" t="str">
        <x:v>tipo_away</x:v>
      </x:c>
      <x:c r="I1" s="8" t="str">
        <x:v>origem_away</x:v>
      </x:c>
      <x:c r="J1" s="8" t="str">
        <x:v>mandante</x:v>
      </x:c>
      <x:c r="K1" s="8" t="str">
        <x:v>visitante</x:v>
      </x:c>
      <x:c r="L1" s="8" t="str">
        <x:v>status_base</x:v>
      </x:c>
      <x:c r="M1" s="27" t="str">
        <x:v>data</x:v>
      </x:c>
      <x:c r="N1" s="8" t="str">
        <x:v>hora</x:v>
      </x:c>
      <x:c r="O1" s="28" t="str">
        <x:v>gols_mandante</x:v>
      </x:c>
      <x:c r="P1" s="28" t="str">
        <x:v>gols_visitante</x:v>
      </x:c>
      <x:c r="Q1" s="8" t="str">
        <x:v>vencedor</x:v>
      </x:c>
      <x:c r="R1" s="8" t="str">
        <x:v>perdedor</x:v>
      </x:c>
      <x:c r="S1" s="8" t="str">
        <x:v>status_site</x:v>
      </x:c>
    </x:row>
    <x:row r="2">
      <x:c r="A2" s="18" t="str">
        <x:v>R32-01</x:v>
      </x:c>
      <x:c r="B2" s="19" t="str">
        <x:v>32 avos de final</x:v>
      </x:c>
      <x:c r="C2" s="19" t="n">
        <x:v>1</x:v>
      </x:c>
      <x:c r="D2" s="19" t="str">
        <x:v>África do Sul</x:v>
      </x:c>
      <x:c r="E2" s="19" t="str">
        <x:v>Canadá</x:v>
      </x:c>
      <x:c r="F2" s="19" t="str"/>
      <x:c r="G2" s="19" t="str"/>
      <x:c r="H2" s="19" t="str"/>
      <x:c r="I2" s="19" t="str"/>
      <x:c r="J2" s="19" t="str">
        <x:f>IF(D2&lt;&gt;"",D2,IF(G2="","",IF(F2="P",XLOOKUP(G2,$A$2:$A$33,$R$2:$R$33,""),XLOOKUP(G2,$A$2:$A$33,$Q$2:$Q$33,""))))</x:f>
        <x:v>África do Sul</x:v>
      </x:c>
      <x:c r="K2" s="19" t="str">
        <x:f>IF(E2&lt;&gt;"",E2,IF(I2="","",IF(H2="P",XLOOKUP(I2,$A$2:$A$33,$R$2:$R$33,""),XLOOKUP(I2,$A$2:$A$33,$Q$2:$Q$33,""))))</x:f>
        <x:v>Canadá</x:v>
      </x:c>
      <x:c r="L2" s="19" t="str">
        <x:v>Definido</x:v>
      </x:c>
      <x:c r="M2" s="19" t="str"/>
      <x:c r="N2" s="19" t="str"/>
      <x:c r="O2" s="19" t="str"/>
      <x:c r="P2" s="19" t="str"/>
      <x:c r="Q2" s="19" t="str">
        <x:f>IF(OR(O2="",P2=""),"",IF(O2&gt;P2,J2,IF(P2&gt;O2,K2,"Empate/penaltis")))</x:f>
      </x:c>
      <x:c r="R2" s="19" t="str">
        <x:f>IF(OR(O2="",P2=""),"",IF(O2&gt;P2,K2,IF(P2&gt;O2,J2,"Definir perdedor")))</x:f>
      </x:c>
      <x:c r="S2" s="20" t="str">
        <x:f>IF(AND(O2&lt;&gt;"",P2&lt;&gt;""),"Finalizado",IF(AND(L2&lt;&gt;"Definido",LEFT(A2,3)="R32"),L2,IF(AND(J2&lt;&gt;"",K2&lt;&gt;""),"Aberto",L2)))</x:f>
        <x:v>Aberto</x:v>
      </x:c>
    </x:row>
    <x:row r="3">
      <x:c r="A3" s="21" t="str">
        <x:v>R32-02</x:v>
      </x:c>
      <x:c r="B3" s="22" t="str">
        <x:v>32 avos de final</x:v>
      </x:c>
      <x:c r="C3" s="22" t="n">
        <x:v>2</x:v>
      </x:c>
      <x:c r="D3" s="22" t="str">
        <x:v>Alemanha</x:v>
      </x:c>
      <x:c r="E3" s="22" t="str">
        <x:v>Paraguai</x:v>
      </x:c>
      <x:c r="F3" s="22" t="str"/>
      <x:c r="G3" s="22" t="str"/>
      <x:c r="H3" s="22" t="str"/>
      <x:c r="I3" s="22" t="str"/>
      <x:c r="J3" s="22" t="str">
        <x:f>IF(D3&lt;&gt;"",D3,IF(G3="","",IF(F3="P",XLOOKUP(G3,$A$2:$A$33,$R$2:$R$33,""),XLOOKUP(G3,$A$2:$A$33,$Q$2:$Q$33,""))))</x:f>
        <x:v>Alemanha</x:v>
      </x:c>
      <x:c r="K3" s="22" t="str">
        <x:f>IF(E3&lt;&gt;"",E3,IF(I3="","",IF(H3="P",XLOOKUP(I3,$A$2:$A$33,$R$2:$R$33,""),XLOOKUP(I3,$A$2:$A$33,$Q$2:$Q$33,""))))</x:f>
        <x:v>Paraguai</x:v>
      </x:c>
      <x:c r="L3" s="22" t="str">
        <x:v>Definido</x:v>
      </x:c>
      <x:c r="M3" s="22" t="str"/>
      <x:c r="N3" s="22" t="str"/>
      <x:c r="O3" s="22" t="str"/>
      <x:c r="P3" s="22" t="str"/>
      <x:c r="Q3" s="22" t="str">
        <x:f>IF(OR(O3="",P3=""),"",IF(O3&gt;P3,J3,IF(P3&gt;O3,K3,"Empate/penaltis")))</x:f>
      </x:c>
      <x:c r="R3" s="22" t="str">
        <x:f>IF(OR(O3="",P3=""),"",IF(O3&gt;P3,K3,IF(P3&gt;O3,J3,"Definir perdedor")))</x:f>
      </x:c>
      <x:c r="S3" s="23" t="str">
        <x:f>IF(AND(O3&lt;&gt;"",P3&lt;&gt;""),"Finalizado",IF(AND(L3&lt;&gt;"Definido",LEFT(A3,3)="R32"),L3,IF(AND(J3&lt;&gt;"",K3&lt;&gt;""),"Aberto",L3)))</x:f>
        <x:v>Aberto</x:v>
      </x:c>
    </x:row>
    <x:row r="4">
      <x:c r="A4" s="21" t="str">
        <x:v>R32-03</x:v>
      </x:c>
      <x:c r="B4" s="22" t="str">
        <x:v>32 avos de final</x:v>
      </x:c>
      <x:c r="C4" s="22" t="n">
        <x:v>3</x:v>
      </x:c>
      <x:c r="D4" s="22" t="str">
        <x:v>Holanda</x:v>
      </x:c>
      <x:c r="E4" s="22" t="str">
        <x:v>Marrocos</x:v>
      </x:c>
      <x:c r="F4" s="22" t="str"/>
      <x:c r="G4" s="22" t="str"/>
      <x:c r="H4" s="22" t="str"/>
      <x:c r="I4" s="22" t="str"/>
      <x:c r="J4" s="22" t="str">
        <x:f>IF(D4&lt;&gt;"",D4,IF(G4="","",IF(F4="P",XLOOKUP(G4,$A$2:$A$33,$R$2:$R$33,""),XLOOKUP(G4,$A$2:$A$33,$Q$2:$Q$33,""))))</x:f>
        <x:v>Holanda</x:v>
      </x:c>
      <x:c r="K4" s="22" t="str">
        <x:f>IF(E4&lt;&gt;"",E4,IF(I4="","",IF(H4="P",XLOOKUP(I4,$A$2:$A$33,$R$2:$R$33,""),XLOOKUP(I4,$A$2:$A$33,$Q$2:$Q$33,""))))</x:f>
        <x:v>Marrocos</x:v>
      </x:c>
      <x:c r="L4" s="22" t="str">
        <x:v>Definido</x:v>
      </x:c>
      <x:c r="M4" s="22" t="str"/>
      <x:c r="N4" s="22" t="str"/>
      <x:c r="O4" s="22" t="str"/>
      <x:c r="P4" s="22" t="str"/>
      <x:c r="Q4" s="22" t="str">
        <x:f>IF(OR(O4="",P4=""),"",IF(O4&gt;P4,J4,IF(P4&gt;O4,K4,"Empate/penaltis")))</x:f>
      </x:c>
      <x:c r="R4" s="22" t="str">
        <x:f>IF(OR(O4="",P4=""),"",IF(O4&gt;P4,K4,IF(P4&gt;O4,J4,"Definir perdedor")))</x:f>
      </x:c>
      <x:c r="S4" s="23" t="str">
        <x:f>IF(AND(O4&lt;&gt;"",P4&lt;&gt;""),"Finalizado",IF(AND(L4&lt;&gt;"Definido",LEFT(A4,3)="R32"),L4,IF(AND(J4&lt;&gt;"",K4&lt;&gt;""),"Aberto",L4)))</x:f>
        <x:v>Aberto</x:v>
      </x:c>
    </x:row>
    <x:row r="5">
      <x:c r="A5" s="21" t="str">
        <x:v>R32-04</x:v>
      </x:c>
      <x:c r="B5" s="22" t="str">
        <x:v>32 avos de final</x:v>
      </x:c>
      <x:c r="C5" s="22" t="n">
        <x:v>4</x:v>
      </x:c>
      <x:c r="D5" s="22" t="str">
        <x:v>Brasil</x:v>
      </x:c>
      <x:c r="E5" s="22" t="str">
        <x:v>Japão</x:v>
      </x:c>
      <x:c r="F5" s="22" t="str"/>
      <x:c r="G5" s="22" t="str"/>
      <x:c r="H5" s="22" t="str"/>
      <x:c r="I5" s="22" t="str"/>
      <x:c r="J5" s="22" t="str">
        <x:f>IF(D5&lt;&gt;"",D5,IF(G5="","",IF(F5="P",XLOOKUP(G5,$A$2:$A$33,$R$2:$R$33,""),XLOOKUP(G5,$A$2:$A$33,$Q$2:$Q$33,""))))</x:f>
        <x:v>Brasil</x:v>
      </x:c>
      <x:c r="K5" s="22" t="str">
        <x:f>IF(E5&lt;&gt;"",E5,IF(I5="","",IF(H5="P",XLOOKUP(I5,$A$2:$A$33,$R$2:$R$33,""),XLOOKUP(I5,$A$2:$A$33,$Q$2:$Q$33,""))))</x:f>
        <x:v>Japão</x:v>
      </x:c>
      <x:c r="L5" s="22" t="str">
        <x:v>Definido</x:v>
      </x:c>
      <x:c r="M5" s="22" t="str"/>
      <x:c r="N5" s="22" t="str"/>
      <x:c r="O5" s="22" t="str"/>
      <x:c r="P5" s="22" t="str"/>
      <x:c r="Q5" s="22" t="str">
        <x:f>IF(OR(O5="",P5=""),"",IF(O5&gt;P5,J5,IF(P5&gt;O5,K5,"Empate/penaltis")))</x:f>
      </x:c>
      <x:c r="R5" s="22" t="str">
        <x:f>IF(OR(O5="",P5=""),"",IF(O5&gt;P5,K5,IF(P5&gt;O5,J5,"Definir perdedor")))</x:f>
      </x:c>
      <x:c r="S5" s="23" t="str">
        <x:f>IF(AND(O5&lt;&gt;"",P5&lt;&gt;""),"Finalizado",IF(AND(L5&lt;&gt;"Definido",LEFT(A5,3)="R32"),L5,IF(AND(J5&lt;&gt;"",K5&lt;&gt;""),"Aberto",L5)))</x:f>
        <x:v>Aberto</x:v>
      </x:c>
    </x:row>
    <x:row r="6">
      <x:c r="A6" s="21" t="str">
        <x:v>R32-05</x:v>
      </x:c>
      <x:c r="B6" s="22" t="str">
        <x:v>32 avos de final</x:v>
      </x:c>
      <x:c r="C6" s="22" t="n">
        <x:v>5</x:v>
      </x:c>
      <x:c r="D6" s="22" t="str">
        <x:v>Costa do Marfim</x:v>
      </x:c>
      <x:c r="E6" s="22" t="str">
        <x:v>Noruega</x:v>
      </x:c>
      <x:c r="F6" s="22" t="str"/>
      <x:c r="G6" s="22" t="str"/>
      <x:c r="H6" s="22" t="str"/>
      <x:c r="I6" s="22" t="str"/>
      <x:c r="J6" s="22" t="str">
        <x:f>IF(D6&lt;&gt;"",D6,IF(G6="","",IF(F6="P",XLOOKUP(G6,$A$2:$A$33,$R$2:$R$33,""),XLOOKUP(G6,$A$2:$A$33,$Q$2:$Q$33,""))))</x:f>
        <x:v>Costa do Marfim</x:v>
      </x:c>
      <x:c r="K6" s="22" t="str">
        <x:f>IF(E6&lt;&gt;"",E6,IF(I6="","",IF(H6="P",XLOOKUP(I6,$A$2:$A$33,$R$2:$R$33,""),XLOOKUP(I6,$A$2:$A$33,$Q$2:$Q$33,""))))</x:f>
        <x:v>Noruega</x:v>
      </x:c>
      <x:c r="L6" s="22" t="str">
        <x:v>Definido</x:v>
      </x:c>
      <x:c r="M6" s="22" t="str"/>
      <x:c r="N6" s="22" t="str"/>
      <x:c r="O6" s="22" t="str"/>
      <x:c r="P6" s="22" t="str"/>
      <x:c r="Q6" s="22" t="str">
        <x:f>IF(OR(O6="",P6=""),"",IF(O6&gt;P6,J6,IF(P6&gt;O6,K6,"Empate/penaltis")))</x:f>
      </x:c>
      <x:c r="R6" s="22" t="str">
        <x:f>IF(OR(O6="",P6=""),"",IF(O6&gt;P6,K6,IF(P6&gt;O6,J6,"Definir perdedor")))</x:f>
      </x:c>
      <x:c r="S6" s="23" t="str">
        <x:f>IF(AND(O6&lt;&gt;"",P6&lt;&gt;""),"Finalizado",IF(AND(L6&lt;&gt;"Definido",LEFT(A6,3)="R32"),L6,IF(AND(J6&lt;&gt;"",K6&lt;&gt;""),"Aberto",L6)))</x:f>
        <x:v>Aberto</x:v>
      </x:c>
    </x:row>
    <x:row r="7">
      <x:c r="A7" s="21" t="str">
        <x:v>R32-06</x:v>
      </x:c>
      <x:c r="B7" s="22" t="str">
        <x:v>32 avos de final</x:v>
      </x:c>
      <x:c r="C7" s="22" t="n">
        <x:v>6</x:v>
      </x:c>
      <x:c r="D7" s="22" t="str">
        <x:v>França</x:v>
      </x:c>
      <x:c r="E7" s="22" t="str">
        <x:v>Suécia</x:v>
      </x:c>
      <x:c r="F7" s="22" t="str"/>
      <x:c r="G7" s="22" t="str"/>
      <x:c r="H7" s="22" t="str"/>
      <x:c r="I7" s="22" t="str"/>
      <x:c r="J7" s="22" t="str">
        <x:f>IF(D7&lt;&gt;"",D7,IF(G7="","",IF(F7="P",XLOOKUP(G7,$A$2:$A$33,$R$2:$R$33,""),XLOOKUP(G7,$A$2:$A$33,$Q$2:$Q$33,""))))</x:f>
        <x:v>França</x:v>
      </x:c>
      <x:c r="K7" s="22" t="str">
        <x:f>IF(E7&lt;&gt;"",E7,IF(I7="","",IF(H7="P",XLOOKUP(I7,$A$2:$A$33,$R$2:$R$33,""),XLOOKUP(I7,$A$2:$A$33,$Q$2:$Q$33,""))))</x:f>
        <x:v>Suécia</x:v>
      </x:c>
      <x:c r="L7" s="22" t="str">
        <x:v>Definido</x:v>
      </x:c>
      <x:c r="M7" s="22" t="str"/>
      <x:c r="N7" s="22" t="str"/>
      <x:c r="O7" s="22" t="str"/>
      <x:c r="P7" s="22" t="str"/>
      <x:c r="Q7" s="22" t="str">
        <x:f>IF(OR(O7="",P7=""),"",IF(O7&gt;P7,J7,IF(P7&gt;O7,K7,"Empate/penaltis")))</x:f>
      </x:c>
      <x:c r="R7" s="22" t="str">
        <x:f>IF(OR(O7="",P7=""),"",IF(O7&gt;P7,K7,IF(P7&gt;O7,J7,"Definir perdedor")))</x:f>
      </x:c>
      <x:c r="S7" s="23" t="str">
        <x:f>IF(AND(O7&lt;&gt;"",P7&lt;&gt;""),"Finalizado",IF(AND(L7&lt;&gt;"Definido",LEFT(A7,3)="R32"),L7,IF(AND(J7&lt;&gt;"",K7&lt;&gt;""),"Aberto",L7)))</x:f>
        <x:v>Aberto</x:v>
      </x:c>
    </x:row>
    <x:row r="8">
      <x:c r="A8" s="21" t="str">
        <x:v>R32-07</x:v>
      </x:c>
      <x:c r="B8" s="22" t="str">
        <x:v>32 avos de final</x:v>
      </x:c>
      <x:c r="C8" s="22" t="n">
        <x:v>7</x:v>
      </x:c>
      <x:c r="D8" s="22" t="str">
        <x:v>México</x:v>
      </x:c>
      <x:c r="E8" s="22" t="str">
        <x:v>Melhor 3º (C/E/F/H/I)</x:v>
      </x:c>
      <x:c r="F8" s="22" t="str"/>
      <x:c r="G8" s="22" t="str"/>
      <x:c r="H8" s="22" t="str"/>
      <x:c r="I8" s="22" t="str"/>
      <x:c r="J8" s="22" t="str">
        <x:f>IF(D8&lt;&gt;"",D8,IF(G8="","",IF(F8="P",XLOOKUP(G8,$A$2:$A$33,$R$2:$R$33,""),XLOOKUP(G8,$A$2:$A$33,$Q$2:$Q$33,""))))</x:f>
        <x:v>México</x:v>
      </x:c>
      <x:c r="K8" s="22" t="str">
        <x:f>IF(E8&lt;&gt;"",E8,IF(I8="","",IF(H8="P",XLOOKUP(I8,$A$2:$A$33,$R$2:$R$33,""),XLOOKUP(I8,$A$2:$A$33,$Q$2:$Q$33,""))))</x:f>
        <x:v>Melhor 3º (C/E/F/H/I)</x:v>
      </x:c>
      <x:c r="L8" s="22" t="str">
        <x:v>Parcial</x:v>
      </x:c>
      <x:c r="M8" s="22" t="str"/>
      <x:c r="N8" s="22" t="str"/>
      <x:c r="O8" s="22" t="str"/>
      <x:c r="P8" s="22" t="str"/>
      <x:c r="Q8" s="22" t="str">
        <x:f>IF(OR(O8="",P8=""),"",IF(O8&gt;P8,J8,IF(P8&gt;O8,K8,"Empate/penaltis")))</x:f>
      </x:c>
      <x:c r="R8" s="22" t="str">
        <x:f>IF(OR(O8="",P8=""),"",IF(O8&gt;P8,K8,IF(P8&gt;O8,J8,"Definir perdedor")))</x:f>
      </x:c>
      <x:c r="S8" s="23" t="str">
        <x:f>IF(AND(O8&lt;&gt;"",P8&lt;&gt;""),"Finalizado",IF(AND(L8&lt;&gt;"Definido",LEFT(A8,3)="R32"),L8,IF(AND(J8&lt;&gt;"",K8&lt;&gt;""),"Aberto",L8)))</x:f>
        <x:v>Parcial</x:v>
      </x:c>
    </x:row>
    <x:row r="9">
      <x:c r="A9" s="21" t="str">
        <x:v>R32-08</x:v>
      </x:c>
      <x:c r="B9" s="22" t="str">
        <x:v>32 avos de final</x:v>
      </x:c>
      <x:c r="C9" s="22" t="n">
        <x:v>8</x:v>
      </x:c>
      <x:c r="D9" s="22" t="str">
        <x:v>1º Grupo L</x:v>
      </x:c>
      <x:c r="E9" s="22" t="str">
        <x:v>Melhor 3º (E/H/I/J/K)</x:v>
      </x:c>
      <x:c r="F9" s="22" t="str"/>
      <x:c r="G9" s="22" t="str"/>
      <x:c r="H9" s="22" t="str"/>
      <x:c r="I9" s="22" t="str"/>
      <x:c r="J9" s="22" t="str">
        <x:f>IF(D9&lt;&gt;"",D9,IF(G9="","",IF(F9="P",XLOOKUP(G9,$A$2:$A$33,$R$2:$R$33,""),XLOOKUP(G9,$A$2:$A$33,$Q$2:$Q$33,""))))</x:f>
        <x:v>1º Grupo L</x:v>
      </x:c>
      <x:c r="K9" s="22" t="str">
        <x:f>IF(E9&lt;&gt;"",E9,IF(I9="","",IF(H9="P",XLOOKUP(I9,$A$2:$A$33,$R$2:$R$33,""),XLOOKUP(I9,$A$2:$A$33,$Q$2:$Q$33,""))))</x:f>
        <x:v>Melhor 3º (E/H/I/J/K)</x:v>
      </x:c>
      <x:c r="L9" s="22" t="str">
        <x:v>Pendente</x:v>
      </x:c>
      <x:c r="M9" s="22" t="str"/>
      <x:c r="N9" s="22" t="str"/>
      <x:c r="O9" s="22" t="str"/>
      <x:c r="P9" s="22" t="str"/>
      <x:c r="Q9" s="22" t="str">
        <x:f>IF(OR(O9="",P9=""),"",IF(O9&gt;P9,J9,IF(P9&gt;O9,K9,"Empate/penaltis")))</x:f>
      </x:c>
      <x:c r="R9" s="22" t="str">
        <x:f>IF(OR(O9="",P9=""),"",IF(O9&gt;P9,K9,IF(P9&gt;O9,J9,"Definir perdedor")))</x:f>
      </x:c>
      <x:c r="S9" s="23" t="str">
        <x:f>IF(AND(O9&lt;&gt;"",P9&lt;&gt;""),"Finalizado",IF(AND(L9&lt;&gt;"Definido",LEFT(A9,3)="R32"),L9,IF(AND(J9&lt;&gt;"",K9&lt;&gt;""),"Aberto",L9)))</x:f>
        <x:v>Pendente</x:v>
      </x:c>
    </x:row>
    <x:row r="10">
      <x:c r="A10" s="21" t="str">
        <x:v>R32-09</x:v>
      </x:c>
      <x:c r="B10" s="22" t="str">
        <x:v>32 avos de final</x:v>
      </x:c>
      <x:c r="C10" s="22" t="n">
        <x:v>9</x:v>
      </x:c>
      <x:c r="D10" s="22" t="str">
        <x:v>Bélgica</x:v>
      </x:c>
      <x:c r="E10" s="22" t="str">
        <x:v>Melhor 3º (A/E/H/I/J)</x:v>
      </x:c>
      <x:c r="F10" s="22" t="str"/>
      <x:c r="G10" s="22" t="str"/>
      <x:c r="H10" s="22" t="str"/>
      <x:c r="I10" s="22" t="str"/>
      <x:c r="J10" s="22" t="str">
        <x:f>IF(D10&lt;&gt;"",D10,IF(G10="","",IF(F10="P",XLOOKUP(G10,$A$2:$A$33,$R$2:$R$33,""),XLOOKUP(G10,$A$2:$A$33,$Q$2:$Q$33,""))))</x:f>
        <x:v>Bélgica</x:v>
      </x:c>
      <x:c r="K10" s="22" t="str">
        <x:f>IF(E10&lt;&gt;"",E10,IF(I10="","",IF(H10="P",XLOOKUP(I10,$A$2:$A$33,$R$2:$R$33,""),XLOOKUP(I10,$A$2:$A$33,$Q$2:$Q$33,""))))</x:f>
        <x:v>Melhor 3º (A/E/H/I/J)</x:v>
      </x:c>
      <x:c r="L10" s="22" t="str">
        <x:v>Parcial</x:v>
      </x:c>
      <x:c r="M10" s="22" t="str"/>
      <x:c r="N10" s="22" t="str"/>
      <x:c r="O10" s="22" t="str"/>
      <x:c r="P10" s="22" t="str"/>
      <x:c r="Q10" s="22" t="str">
        <x:f>IF(OR(O10="",P10=""),"",IF(O10&gt;P10,J10,IF(P10&gt;O10,K10,"Empate/penaltis")))</x:f>
      </x:c>
      <x:c r="R10" s="22" t="str">
        <x:f>IF(OR(O10="",P10=""),"",IF(O10&gt;P10,K10,IF(P10&gt;O10,J10,"Definir perdedor")))</x:f>
      </x:c>
      <x:c r="S10" s="23" t="str">
        <x:f>IF(AND(O10&lt;&gt;"",P10&lt;&gt;""),"Finalizado",IF(AND(L10&lt;&gt;"Definido",LEFT(A10,3)="R32"),L10,IF(AND(J10&lt;&gt;"",K10&lt;&gt;""),"Aberto",L10)))</x:f>
        <x:v>Parcial</x:v>
      </x:c>
    </x:row>
    <x:row r="11">
      <x:c r="A11" s="21" t="str">
        <x:v>R32-10</x:v>
      </x:c>
      <x:c r="B11" s="22" t="str">
        <x:v>32 avos de final</x:v>
      </x:c>
      <x:c r="C11" s="22" t="n">
        <x:v>10</x:v>
      </x:c>
      <x:c r="D11" s="22" t="str">
        <x:v>Estados Unidos</x:v>
      </x:c>
      <x:c r="E11" s="22" t="str">
        <x:v>Bósnia e Herzegovina</x:v>
      </x:c>
      <x:c r="F11" s="22" t="str"/>
      <x:c r="G11" s="22" t="str"/>
      <x:c r="H11" s="22" t="str"/>
      <x:c r="I11" s="22" t="str"/>
      <x:c r="J11" s="22" t="str">
        <x:f>IF(D11&lt;&gt;"",D11,IF(G11="","",IF(F11="P",XLOOKUP(G11,$A$2:$A$33,$R$2:$R$33,""),XLOOKUP(G11,$A$2:$A$33,$Q$2:$Q$33,""))))</x:f>
        <x:v>Estados Unidos</x:v>
      </x:c>
      <x:c r="K11" s="22" t="str">
        <x:f>IF(E11&lt;&gt;"",E11,IF(I11="","",IF(H11="P",XLOOKUP(I11,$A$2:$A$33,$R$2:$R$33,""),XLOOKUP(I11,$A$2:$A$33,$Q$2:$Q$33,""))))</x:f>
        <x:v>Bósnia e Herzegovina</x:v>
      </x:c>
      <x:c r="L11" s="22" t="str">
        <x:v>Definido</x:v>
      </x:c>
      <x:c r="M11" s="22" t="str"/>
      <x:c r="N11" s="22" t="str"/>
      <x:c r="O11" s="22" t="str"/>
      <x:c r="P11" s="22" t="str"/>
      <x:c r="Q11" s="22" t="str">
        <x:f>IF(OR(O11="",P11=""),"",IF(O11&gt;P11,J11,IF(P11&gt;O11,K11,"Empate/penaltis")))</x:f>
      </x:c>
      <x:c r="R11" s="22" t="str">
        <x:f>IF(OR(O11="",P11=""),"",IF(O11&gt;P11,K11,IF(P11&gt;O11,J11,"Definir perdedor")))</x:f>
      </x:c>
      <x:c r="S11" s="23" t="str">
        <x:f>IF(AND(O11&lt;&gt;"",P11&lt;&gt;""),"Finalizado",IF(AND(L11&lt;&gt;"Definido",LEFT(A11,3)="R32"),L11,IF(AND(J11&lt;&gt;"",K11&lt;&gt;""),"Aberto",L11)))</x:f>
        <x:v>Aberto</x:v>
      </x:c>
    </x:row>
    <x:row r="12">
      <x:c r="A12" s="21" t="str">
        <x:v>R32-11</x:v>
      </x:c>
      <x:c r="B12" s="22" t="str">
        <x:v>32 avos de final</x:v>
      </x:c>
      <x:c r="C12" s="22" t="n">
        <x:v>11</x:v>
      </x:c>
      <x:c r="D12" s="22" t="str">
        <x:v>Espanha</x:v>
      </x:c>
      <x:c r="E12" s="22" t="str">
        <x:v>2º Grupo J</x:v>
      </x:c>
      <x:c r="F12" s="22" t="str"/>
      <x:c r="G12" s="22" t="str"/>
      <x:c r="H12" s="22" t="str"/>
      <x:c r="I12" s="22" t="str"/>
      <x:c r="J12" s="22" t="str">
        <x:f>IF(D12&lt;&gt;"",D12,IF(G12="","",IF(F12="P",XLOOKUP(G12,$A$2:$A$33,$R$2:$R$33,""),XLOOKUP(G12,$A$2:$A$33,$Q$2:$Q$33,""))))</x:f>
        <x:v>Espanha</x:v>
      </x:c>
      <x:c r="K12" s="22" t="str">
        <x:f>IF(E12&lt;&gt;"",E12,IF(I12="","",IF(H12="P",XLOOKUP(I12,$A$2:$A$33,$R$2:$R$33,""),XLOOKUP(I12,$A$2:$A$33,$Q$2:$Q$33,""))))</x:f>
        <x:v>2º Grupo J</x:v>
      </x:c>
      <x:c r="L12" s="22" t="str">
        <x:v>Pendente</x:v>
      </x:c>
      <x:c r="M12" s="22" t="str"/>
      <x:c r="N12" s="22" t="str"/>
      <x:c r="O12" s="22" t="str"/>
      <x:c r="P12" s="22" t="str"/>
      <x:c r="Q12" s="22" t="str">
        <x:f>IF(OR(O12="",P12=""),"",IF(O12&gt;P12,J12,IF(P12&gt;O12,K12,"Empate/penaltis")))</x:f>
      </x:c>
      <x:c r="R12" s="22" t="str">
        <x:f>IF(OR(O12="",P12=""),"",IF(O12&gt;P12,K12,IF(P12&gt;O12,J12,"Definir perdedor")))</x:f>
      </x:c>
      <x:c r="S12" s="23" t="str">
        <x:f>IF(AND(O12&lt;&gt;"",P12&lt;&gt;""),"Finalizado",IF(AND(L12&lt;&gt;"Definido",LEFT(A12,3)="R32"),L12,IF(AND(J12&lt;&gt;"",K12&lt;&gt;""),"Aberto",L12)))</x:f>
        <x:v>Pendente</x:v>
      </x:c>
    </x:row>
    <x:row r="13">
      <x:c r="A13" s="21" t="str">
        <x:v>R32-12</x:v>
      </x:c>
      <x:c r="B13" s="22" t="str">
        <x:v>32 avos de final</x:v>
      </x:c>
      <x:c r="C13" s="22" t="n">
        <x:v>12</x:v>
      </x:c>
      <x:c r="D13" s="22" t="str">
        <x:v>2º Grupo K</x:v>
      </x:c>
      <x:c r="E13" s="22" t="str">
        <x:v>2º Grupo L</x:v>
      </x:c>
      <x:c r="F13" s="22" t="str"/>
      <x:c r="G13" s="22" t="str"/>
      <x:c r="H13" s="22" t="str"/>
      <x:c r="I13" s="22" t="str"/>
      <x:c r="J13" s="22" t="str">
        <x:f>IF(D13&lt;&gt;"",D13,IF(G13="","",IF(F13="P",XLOOKUP(G13,$A$2:$A$33,$R$2:$R$33,""),XLOOKUP(G13,$A$2:$A$33,$Q$2:$Q$33,""))))</x:f>
        <x:v>2º Grupo K</x:v>
      </x:c>
      <x:c r="K13" s="22" t="str">
        <x:f>IF(E13&lt;&gt;"",E13,IF(I13="","",IF(H13="P",XLOOKUP(I13,$A$2:$A$33,$R$2:$R$33,""),XLOOKUP(I13,$A$2:$A$33,$Q$2:$Q$33,""))))</x:f>
        <x:v>2º Grupo L</x:v>
      </x:c>
      <x:c r="L13" s="22" t="str">
        <x:v>Pendente</x:v>
      </x:c>
      <x:c r="M13" s="22" t="str"/>
      <x:c r="N13" s="22" t="str"/>
      <x:c r="O13" s="22" t="str"/>
      <x:c r="P13" s="22" t="str"/>
      <x:c r="Q13" s="22" t="str">
        <x:f>IF(OR(O13="",P13=""),"",IF(O13&gt;P13,J13,IF(P13&gt;O13,K13,"Empate/penaltis")))</x:f>
      </x:c>
      <x:c r="R13" s="22" t="str">
        <x:f>IF(OR(O13="",P13=""),"",IF(O13&gt;P13,K13,IF(P13&gt;O13,J13,"Definir perdedor")))</x:f>
      </x:c>
      <x:c r="S13" s="23" t="str">
        <x:f>IF(AND(O13&lt;&gt;"",P13&lt;&gt;""),"Finalizado",IF(AND(L13&lt;&gt;"Definido",LEFT(A13,3)="R32"),L13,IF(AND(J13&lt;&gt;"",K13&lt;&gt;""),"Aberto",L13)))</x:f>
        <x:v>Pendente</x:v>
      </x:c>
    </x:row>
    <x:row r="14">
      <x:c r="A14" s="21" t="str">
        <x:v>R32-13</x:v>
      </x:c>
      <x:c r="B14" s="22" t="str">
        <x:v>32 avos de final</x:v>
      </x:c>
      <x:c r="C14" s="22" t="n">
        <x:v>13</x:v>
      </x:c>
      <x:c r="D14" s="22" t="str">
        <x:v>Suíça</x:v>
      </x:c>
      <x:c r="E14" s="22" t="str">
        <x:v>Melhor 3º (E/F/G/I/J)</x:v>
      </x:c>
      <x:c r="F14" s="22" t="str"/>
      <x:c r="G14" s="22" t="str"/>
      <x:c r="H14" s="22" t="str"/>
      <x:c r="I14" s="22" t="str"/>
      <x:c r="J14" s="22" t="str">
        <x:f>IF(D14&lt;&gt;"",D14,IF(G14="","",IF(F14="P",XLOOKUP(G14,$A$2:$A$33,$R$2:$R$33,""),XLOOKUP(G14,$A$2:$A$33,$Q$2:$Q$33,""))))</x:f>
        <x:v>Suíça</x:v>
      </x:c>
      <x:c r="K14" s="22" t="str">
        <x:f>IF(E14&lt;&gt;"",E14,IF(I14="","",IF(H14="P",XLOOKUP(I14,$A$2:$A$33,$R$2:$R$33,""),XLOOKUP(I14,$A$2:$A$33,$Q$2:$Q$33,""))))</x:f>
        <x:v>Melhor 3º (E/F/G/I/J)</x:v>
      </x:c>
      <x:c r="L14" s="22" t="str">
        <x:v>Parcial</x:v>
      </x:c>
      <x:c r="M14" s="22" t="str"/>
      <x:c r="N14" s="22" t="str"/>
      <x:c r="O14" s="22" t="str"/>
      <x:c r="P14" s="22" t="str"/>
      <x:c r="Q14" s="22" t="str">
        <x:f>IF(OR(O14="",P14=""),"",IF(O14&gt;P14,J14,IF(P14&gt;O14,K14,"Empate/penaltis")))</x:f>
      </x:c>
      <x:c r="R14" s="22" t="str">
        <x:f>IF(OR(O14="",P14=""),"",IF(O14&gt;P14,K14,IF(P14&gt;O14,J14,"Definir perdedor")))</x:f>
      </x:c>
      <x:c r="S14" s="23" t="str">
        <x:f>IF(AND(O14&lt;&gt;"",P14&lt;&gt;""),"Finalizado",IF(AND(L14&lt;&gt;"Definido",LEFT(A14,3)="R32"),L14,IF(AND(J14&lt;&gt;"",K14&lt;&gt;""),"Aberto",L14)))</x:f>
        <x:v>Parcial</x:v>
      </x:c>
    </x:row>
    <x:row r="15">
      <x:c r="A15" s="21" t="str">
        <x:v>R32-14</x:v>
      </x:c>
      <x:c r="B15" s="22" t="str">
        <x:v>32 avos de final</x:v>
      </x:c>
      <x:c r="C15" s="22" t="n">
        <x:v>14</x:v>
      </x:c>
      <x:c r="D15" s="22" t="str">
        <x:v>Austrália</x:v>
      </x:c>
      <x:c r="E15" s="22" t="str">
        <x:v>Egito</x:v>
      </x:c>
      <x:c r="F15" s="22" t="str"/>
      <x:c r="G15" s="22" t="str"/>
      <x:c r="H15" s="22" t="str"/>
      <x:c r="I15" s="22" t="str"/>
      <x:c r="J15" s="22" t="str">
        <x:f>IF(D15&lt;&gt;"",D15,IF(G15="","",IF(F15="P",XLOOKUP(G15,$A$2:$A$33,$R$2:$R$33,""),XLOOKUP(G15,$A$2:$A$33,$Q$2:$Q$33,""))))</x:f>
        <x:v>Austrália</x:v>
      </x:c>
      <x:c r="K15" s="22" t="str">
        <x:f>IF(E15&lt;&gt;"",E15,IF(I15="","",IF(H15="P",XLOOKUP(I15,$A$2:$A$33,$R$2:$R$33,""),XLOOKUP(I15,$A$2:$A$33,$Q$2:$Q$33,""))))</x:f>
        <x:v>Egito</x:v>
      </x:c>
      <x:c r="L15" s="22" t="str">
        <x:v>Definido</x:v>
      </x:c>
      <x:c r="M15" s="22" t="str"/>
      <x:c r="N15" s="22" t="str"/>
      <x:c r="O15" s="22" t="str"/>
      <x:c r="P15" s="22" t="str"/>
      <x:c r="Q15" s="22" t="str">
        <x:f>IF(OR(O15="",P15=""),"",IF(O15&gt;P15,J15,IF(P15&gt;O15,K15,"Empate/penaltis")))</x:f>
      </x:c>
      <x:c r="R15" s="22" t="str">
        <x:f>IF(OR(O15="",P15=""),"",IF(O15&gt;P15,K15,IF(P15&gt;O15,J15,"Definir perdedor")))</x:f>
      </x:c>
      <x:c r="S15" s="23" t="str">
        <x:f>IF(AND(O15&lt;&gt;"",P15&lt;&gt;""),"Finalizado",IF(AND(L15&lt;&gt;"Definido",LEFT(A15,3)="R32"),L15,IF(AND(J15&lt;&gt;"",K15&lt;&gt;""),"Aberto",L15)))</x:f>
        <x:v>Aberto</x:v>
      </x:c>
    </x:row>
    <x:row r="16">
      <x:c r="A16" s="21" t="str">
        <x:v>R32-15</x:v>
      </x:c>
      <x:c r="B16" s="22" t="str">
        <x:v>32 avos de final</x:v>
      </x:c>
      <x:c r="C16" s="22" t="n">
        <x:v>15</x:v>
      </x:c>
      <x:c r="D16" s="22" t="str">
        <x:v>Argentina</x:v>
      </x:c>
      <x:c r="E16" s="22" t="str">
        <x:v>Cabo Verde</x:v>
      </x:c>
      <x:c r="F16" s="22" t="str"/>
      <x:c r="G16" s="22" t="str"/>
      <x:c r="H16" s="22" t="str"/>
      <x:c r="I16" s="22" t="str"/>
      <x:c r="J16" s="22" t="str">
        <x:f>IF(D16&lt;&gt;"",D16,IF(G16="","",IF(F16="P",XLOOKUP(G16,$A$2:$A$33,$R$2:$R$33,""),XLOOKUP(G16,$A$2:$A$33,$Q$2:$Q$33,""))))</x:f>
        <x:v>Argentina</x:v>
      </x:c>
      <x:c r="K16" s="22" t="str">
        <x:f>IF(E16&lt;&gt;"",E16,IF(I16="","",IF(H16="P",XLOOKUP(I16,$A$2:$A$33,$R$2:$R$33,""),XLOOKUP(I16,$A$2:$A$33,$Q$2:$Q$33,""))))</x:f>
        <x:v>Cabo Verde</x:v>
      </x:c>
      <x:c r="L16" s="22" t="str">
        <x:v>Definido</x:v>
      </x:c>
      <x:c r="M16" s="22" t="str"/>
      <x:c r="N16" s="22" t="str"/>
      <x:c r="O16" s="22" t="str"/>
      <x:c r="P16" s="22" t="str"/>
      <x:c r="Q16" s="22" t="str">
        <x:f>IF(OR(O16="",P16=""),"",IF(O16&gt;P16,J16,IF(P16&gt;O16,K16,"Empate/penaltis")))</x:f>
      </x:c>
      <x:c r="R16" s="22" t="str">
        <x:f>IF(OR(O16="",P16=""),"",IF(O16&gt;P16,K16,IF(P16&gt;O16,J16,"Definir perdedor")))</x:f>
      </x:c>
      <x:c r="S16" s="23" t="str">
        <x:f>IF(AND(O16&lt;&gt;"",P16&lt;&gt;""),"Finalizado",IF(AND(L16&lt;&gt;"Definido",LEFT(A16,3)="R32"),L16,IF(AND(J16&lt;&gt;"",K16&lt;&gt;""),"Aberto",L16)))</x:f>
        <x:v>Aberto</x:v>
      </x:c>
    </x:row>
    <x:row r="17">
      <x:c r="A17" s="21" t="str">
        <x:v>R32-16</x:v>
      </x:c>
      <x:c r="B17" s="22" t="str">
        <x:v>32 avos de final</x:v>
      </x:c>
      <x:c r="C17" s="22" t="n">
        <x:v>16</x:v>
      </x:c>
      <x:c r="D17" s="22" t="str">
        <x:v>1º Grupo K</x:v>
      </x:c>
      <x:c r="E17" s="22" t="str">
        <x:v>Melhor 3º (D/E/I/J/L)</x:v>
      </x:c>
      <x:c r="F17" s="22" t="str"/>
      <x:c r="G17" s="22" t="str"/>
      <x:c r="H17" s="22" t="str"/>
      <x:c r="I17" s="22" t="str"/>
      <x:c r="J17" s="22" t="str">
        <x:f>IF(D17&lt;&gt;"",D17,IF(G17="","",IF(F17="P",XLOOKUP(G17,$A$2:$A$33,$R$2:$R$33,""),XLOOKUP(G17,$A$2:$A$33,$Q$2:$Q$33,""))))</x:f>
        <x:v>1º Grupo K</x:v>
      </x:c>
      <x:c r="K17" s="22" t="str">
        <x:f>IF(E17&lt;&gt;"",E17,IF(I17="","",IF(H17="P",XLOOKUP(I17,$A$2:$A$33,$R$2:$R$33,""),XLOOKUP(I17,$A$2:$A$33,$Q$2:$Q$33,""))))</x:f>
        <x:v>Melhor 3º (D/E/I/J/L)</x:v>
      </x:c>
      <x:c r="L17" s="22" t="str">
        <x:v>Pendente</x:v>
      </x:c>
      <x:c r="M17" s="22" t="str"/>
      <x:c r="N17" s="22" t="str"/>
      <x:c r="O17" s="22" t="str"/>
      <x:c r="P17" s="22" t="str"/>
      <x:c r="Q17" s="22" t="str">
        <x:f>IF(OR(O17="",P17=""),"",IF(O17&gt;P17,J17,IF(P17&gt;O17,K17,"Empate/penaltis")))</x:f>
      </x:c>
      <x:c r="R17" s="22" t="str">
        <x:f>IF(OR(O17="",P17=""),"",IF(O17&gt;P17,K17,IF(P17&gt;O17,J17,"Definir perdedor")))</x:f>
      </x:c>
      <x:c r="S17" s="23" t="str">
        <x:f>IF(AND(O17&lt;&gt;"",P17&lt;&gt;""),"Finalizado",IF(AND(L17&lt;&gt;"Definido",LEFT(A17,3)="R32"),L17,IF(AND(J17&lt;&gt;"",K17&lt;&gt;""),"Aberto",L17)))</x:f>
        <x:v>Pendente</x:v>
      </x:c>
    </x:row>
    <x:row r="18">
      <x:c r="A18" s="21" t="str">
        <x:v>R16-01</x:v>
      </x:c>
      <x:c r="B18" s="22" t="str">
        <x:v>Oitavas de final</x:v>
      </x:c>
      <x:c r="C18" s="22" t="n">
        <x:v>1</x:v>
      </x:c>
      <x:c r="D18" s="22" t="str"/>
      <x:c r="E18" s="22" t="str"/>
      <x:c r="F18" s="22" t="str">
        <x:v>V</x:v>
      </x:c>
      <x:c r="G18" s="22" t="str">
        <x:v>R32-01</x:v>
      </x:c>
      <x:c r="H18" s="22" t="str">
        <x:v>V</x:v>
      </x:c>
      <x:c r="I18" s="22" t="str">
        <x:v>R32-03</x:v>
      </x:c>
      <x:c r="J18" s="22" t="str">
        <x:f>IF(D18&lt;&gt;"",D18,IF(G18="","",IF(F18="P",XLOOKUP(G18,$A$2:$A$33,$R$2:$R$33,""),XLOOKUP(G18,$A$2:$A$33,$Q$2:$Q$33,""))))</x:f>
      </x:c>
      <x:c r="K18" s="22" t="str">
        <x:f>IF(E18&lt;&gt;"",E18,IF(I18="","",IF(H18="P",XLOOKUP(I18,$A$2:$A$33,$R$2:$R$33,""),XLOOKUP(I18,$A$2:$A$33,$Q$2:$Q$33,""))))</x:f>
      </x:c>
      <x:c r="L18" s="22" t="str">
        <x:v>Pendente</x:v>
      </x:c>
      <x:c r="M18" s="22" t="str"/>
      <x:c r="N18" s="22" t="str"/>
      <x:c r="O18" s="22" t="str"/>
      <x:c r="P18" s="22" t="str"/>
      <x:c r="Q18" s="22" t="str">
        <x:f>IF(OR(O18="",P18=""),"",IF(O18&gt;P18,J18,IF(P18&gt;O18,K18,"Empate/penaltis")))</x:f>
      </x:c>
      <x:c r="R18" s="22" t="str">
        <x:f>IF(OR(O18="",P18=""),"",IF(O18&gt;P18,K18,IF(P18&gt;O18,J18,"Definir perdedor")))</x:f>
      </x:c>
      <x:c r="S18" s="23" t="str">
        <x:f>IF(AND(O18&lt;&gt;"",P18&lt;&gt;""),"Finalizado",IF(AND(L18&lt;&gt;"Definido",LEFT(A18,3)="R32"),L18,IF(AND(J18&lt;&gt;"",K18&lt;&gt;""),"Aberto",L18)))</x:f>
        <x:v>Pendente</x:v>
      </x:c>
    </x:row>
    <x:row r="19">
      <x:c r="A19" s="21" t="str">
        <x:v>R16-02</x:v>
      </x:c>
      <x:c r="B19" s="22" t="str">
        <x:v>Oitavas de final</x:v>
      </x:c>
      <x:c r="C19" s="22" t="n">
        <x:v>2</x:v>
      </x:c>
      <x:c r="D19" s="22" t="str"/>
      <x:c r="E19" s="22" t="str"/>
      <x:c r="F19" s="22" t="str">
        <x:v>V</x:v>
      </x:c>
      <x:c r="G19" s="22" t="str">
        <x:v>R32-02</x:v>
      </x:c>
      <x:c r="H19" s="22" t="str">
        <x:v>V</x:v>
      </x:c>
      <x:c r="I19" s="22" t="str">
        <x:v>R32-06</x:v>
      </x:c>
      <x:c r="J19" s="22" t="str">
        <x:f>IF(D19&lt;&gt;"",D19,IF(G19="","",IF(F19="P",XLOOKUP(G19,$A$2:$A$33,$R$2:$R$33,""),XLOOKUP(G19,$A$2:$A$33,$Q$2:$Q$33,""))))</x:f>
      </x:c>
      <x:c r="K19" s="22" t="str">
        <x:f>IF(E19&lt;&gt;"",E19,IF(I19="","",IF(H19="P",XLOOKUP(I19,$A$2:$A$33,$R$2:$R$33,""),XLOOKUP(I19,$A$2:$A$33,$Q$2:$Q$33,""))))</x:f>
      </x:c>
      <x:c r="L19" s="22" t="str">
        <x:v>Pendente</x:v>
      </x:c>
      <x:c r="M19" s="22" t="str"/>
      <x:c r="N19" s="22" t="str"/>
      <x:c r="O19" s="22" t="str"/>
      <x:c r="P19" s="22" t="str"/>
      <x:c r="Q19" s="22" t="str">
        <x:f>IF(OR(O19="",P19=""),"",IF(O19&gt;P19,J19,IF(P19&gt;O19,K19,"Empate/penaltis")))</x:f>
      </x:c>
      <x:c r="R19" s="22" t="str">
        <x:f>IF(OR(O19="",P19=""),"",IF(O19&gt;P19,K19,IF(P19&gt;O19,J19,"Definir perdedor")))</x:f>
      </x:c>
      <x:c r="S19" s="23" t="str">
        <x:f>IF(AND(O19&lt;&gt;"",P19&lt;&gt;""),"Finalizado",IF(AND(L19&lt;&gt;"Definido",LEFT(A19,3)="R32"),L19,IF(AND(J19&lt;&gt;"",K19&lt;&gt;""),"Aberto",L19)))</x:f>
        <x:v>Pendente</x:v>
      </x:c>
    </x:row>
    <x:row r="20">
      <x:c r="A20" s="21" t="str">
        <x:v>R16-03</x:v>
      </x:c>
      <x:c r="B20" s="22" t="str">
        <x:v>Oitavas de final</x:v>
      </x:c>
      <x:c r="C20" s="22" t="n">
        <x:v>3</x:v>
      </x:c>
      <x:c r="D20" s="22" t="str"/>
      <x:c r="E20" s="22" t="str"/>
      <x:c r="F20" s="22" t="str">
        <x:v>V</x:v>
      </x:c>
      <x:c r="G20" s="22" t="str">
        <x:v>R32-04</x:v>
      </x:c>
      <x:c r="H20" s="22" t="str">
        <x:v>V</x:v>
      </x:c>
      <x:c r="I20" s="22" t="str">
        <x:v>R32-05</x:v>
      </x:c>
      <x:c r="J20" s="22" t="str">
        <x:f>IF(D20&lt;&gt;"",D20,IF(G20="","",IF(F20="P",XLOOKUP(G20,$A$2:$A$33,$R$2:$R$33,""),XLOOKUP(G20,$A$2:$A$33,$Q$2:$Q$33,""))))</x:f>
      </x:c>
      <x:c r="K20" s="22" t="str">
        <x:f>IF(E20&lt;&gt;"",E20,IF(I20="","",IF(H20="P",XLOOKUP(I20,$A$2:$A$33,$R$2:$R$33,""),XLOOKUP(I20,$A$2:$A$33,$Q$2:$Q$33,""))))</x:f>
      </x:c>
      <x:c r="L20" s="22" t="str">
        <x:v>Pendente</x:v>
      </x:c>
      <x:c r="M20" s="22" t="str"/>
      <x:c r="N20" s="22" t="str"/>
      <x:c r="O20" s="22" t="str"/>
      <x:c r="P20" s="22" t="str"/>
      <x:c r="Q20" s="22" t="str">
        <x:f>IF(OR(O20="",P20=""),"",IF(O20&gt;P20,J20,IF(P20&gt;O20,K20,"Empate/penaltis")))</x:f>
      </x:c>
      <x:c r="R20" s="22" t="str">
        <x:f>IF(OR(O20="",P20=""),"",IF(O20&gt;P20,K20,IF(P20&gt;O20,J20,"Definir perdedor")))</x:f>
      </x:c>
      <x:c r="S20" s="23" t="str">
        <x:f>IF(AND(O20&lt;&gt;"",P20&lt;&gt;""),"Finalizado",IF(AND(L20&lt;&gt;"Definido",LEFT(A20,3)="R32"),L20,IF(AND(J20&lt;&gt;"",K20&lt;&gt;""),"Aberto",L20)))</x:f>
        <x:v>Pendente</x:v>
      </x:c>
    </x:row>
    <x:row r="21">
      <x:c r="A21" s="21" t="str">
        <x:v>R16-04</x:v>
      </x:c>
      <x:c r="B21" s="22" t="str">
        <x:v>Oitavas de final</x:v>
      </x:c>
      <x:c r="C21" s="22" t="n">
        <x:v>4</x:v>
      </x:c>
      <x:c r="D21" s="22" t="str"/>
      <x:c r="E21" s="22" t="str"/>
      <x:c r="F21" s="22" t="str">
        <x:v>V</x:v>
      </x:c>
      <x:c r="G21" s="22" t="str">
        <x:v>R32-07</x:v>
      </x:c>
      <x:c r="H21" s="22" t="str">
        <x:v>V</x:v>
      </x:c>
      <x:c r="I21" s="22" t="str">
        <x:v>R32-08</x:v>
      </x:c>
      <x:c r="J21" s="22" t="str">
        <x:f>IF(D21&lt;&gt;"",D21,IF(G21="","",IF(F21="P",XLOOKUP(G21,$A$2:$A$33,$R$2:$R$33,""),XLOOKUP(G21,$A$2:$A$33,$Q$2:$Q$33,""))))</x:f>
      </x:c>
      <x:c r="K21" s="22" t="str">
        <x:f>IF(E21&lt;&gt;"",E21,IF(I21="","",IF(H21="P",XLOOKUP(I21,$A$2:$A$33,$R$2:$R$33,""),XLOOKUP(I21,$A$2:$A$33,$Q$2:$Q$33,""))))</x:f>
      </x:c>
      <x:c r="L21" s="22" t="str">
        <x:v>Pendente</x:v>
      </x:c>
      <x:c r="M21" s="22" t="str"/>
      <x:c r="N21" s="22" t="str"/>
      <x:c r="O21" s="22" t="str"/>
      <x:c r="P21" s="22" t="str"/>
      <x:c r="Q21" s="22" t="str">
        <x:f>IF(OR(O21="",P21=""),"",IF(O21&gt;P21,J21,IF(P21&gt;O21,K21,"Empate/penaltis")))</x:f>
      </x:c>
      <x:c r="R21" s="22" t="str">
        <x:f>IF(OR(O21="",P21=""),"",IF(O21&gt;P21,K21,IF(P21&gt;O21,J21,"Definir perdedor")))</x:f>
      </x:c>
      <x:c r="S21" s="23" t="str">
        <x:f>IF(AND(O21&lt;&gt;"",P21&lt;&gt;""),"Finalizado",IF(AND(L21&lt;&gt;"Definido",LEFT(A21,3)="R32"),L21,IF(AND(J21&lt;&gt;"",K21&lt;&gt;""),"Aberto",L21)))</x:f>
        <x:v>Pendente</x:v>
      </x:c>
    </x:row>
    <x:row r="22">
      <x:c r="A22" s="21" t="str">
        <x:v>R16-05</x:v>
      </x:c>
      <x:c r="B22" s="22" t="str">
        <x:v>Oitavas de final</x:v>
      </x:c>
      <x:c r="C22" s="22" t="n">
        <x:v>5</x:v>
      </x:c>
      <x:c r="D22" s="22" t="str"/>
      <x:c r="E22" s="22" t="str"/>
      <x:c r="F22" s="22" t="str">
        <x:v>V</x:v>
      </x:c>
      <x:c r="G22" s="22" t="str">
        <x:v>R32-09</x:v>
      </x:c>
      <x:c r="H22" s="22" t="str">
        <x:v>V</x:v>
      </x:c>
      <x:c r="I22" s="22" t="str">
        <x:v>R32-10</x:v>
      </x:c>
      <x:c r="J22" s="22" t="str">
        <x:f>IF(D22&lt;&gt;"",D22,IF(G22="","",IF(F22="P",XLOOKUP(G22,$A$2:$A$33,$R$2:$R$33,""),XLOOKUP(G22,$A$2:$A$33,$Q$2:$Q$33,""))))</x:f>
      </x:c>
      <x:c r="K22" s="22" t="str">
        <x:f>IF(E22&lt;&gt;"",E22,IF(I22="","",IF(H22="P",XLOOKUP(I22,$A$2:$A$33,$R$2:$R$33,""),XLOOKUP(I22,$A$2:$A$33,$Q$2:$Q$33,""))))</x:f>
      </x:c>
      <x:c r="L22" s="22" t="str">
        <x:v>Pendente</x:v>
      </x:c>
      <x:c r="M22" s="22" t="str"/>
      <x:c r="N22" s="22" t="str"/>
      <x:c r="O22" s="22" t="str"/>
      <x:c r="P22" s="22" t="str"/>
      <x:c r="Q22" s="22" t="str">
        <x:f>IF(OR(O22="",P22=""),"",IF(O22&gt;P22,J22,IF(P22&gt;O22,K22,"Empate/penaltis")))</x:f>
      </x:c>
      <x:c r="R22" s="22" t="str">
        <x:f>IF(OR(O22="",P22=""),"",IF(O22&gt;P22,K22,IF(P22&gt;O22,J22,"Definir perdedor")))</x:f>
      </x:c>
      <x:c r="S22" s="23" t="str">
        <x:f>IF(AND(O22&lt;&gt;"",P22&lt;&gt;""),"Finalizado",IF(AND(L22&lt;&gt;"Definido",LEFT(A22,3)="R32"),L22,IF(AND(J22&lt;&gt;"",K22&lt;&gt;""),"Aberto",L22)))</x:f>
        <x:v>Pendente</x:v>
      </x:c>
    </x:row>
    <x:row r="23">
      <x:c r="A23" s="21" t="str">
        <x:v>R16-06</x:v>
      </x:c>
      <x:c r="B23" s="22" t="str">
        <x:v>Oitavas de final</x:v>
      </x:c>
      <x:c r="C23" s="22" t="n">
        <x:v>6</x:v>
      </x:c>
      <x:c r="D23" s="22" t="str"/>
      <x:c r="E23" s="22" t="str"/>
      <x:c r="F23" s="22" t="str">
        <x:v>V</x:v>
      </x:c>
      <x:c r="G23" s="22" t="str">
        <x:v>R32-11</x:v>
      </x:c>
      <x:c r="H23" s="22" t="str">
        <x:v>V</x:v>
      </x:c>
      <x:c r="I23" s="22" t="str">
        <x:v>R32-12</x:v>
      </x:c>
      <x:c r="J23" s="22" t="str">
        <x:f>IF(D23&lt;&gt;"",D23,IF(G23="","",IF(F23="P",XLOOKUP(G23,$A$2:$A$33,$R$2:$R$33,""),XLOOKUP(G23,$A$2:$A$33,$Q$2:$Q$33,""))))</x:f>
      </x:c>
      <x:c r="K23" s="22" t="str">
        <x:f>IF(E23&lt;&gt;"",E23,IF(I23="","",IF(H23="P",XLOOKUP(I23,$A$2:$A$33,$R$2:$R$33,""),XLOOKUP(I23,$A$2:$A$33,$Q$2:$Q$33,""))))</x:f>
      </x:c>
      <x:c r="L23" s="22" t="str">
        <x:v>Pendente</x:v>
      </x:c>
      <x:c r="M23" s="22" t="str"/>
      <x:c r="N23" s="22" t="str"/>
      <x:c r="O23" s="22" t="str"/>
      <x:c r="P23" s="22" t="str"/>
      <x:c r="Q23" s="22" t="str">
        <x:f>IF(OR(O23="",P23=""),"",IF(O23&gt;P23,J23,IF(P23&gt;O23,K23,"Empate/penaltis")))</x:f>
      </x:c>
      <x:c r="R23" s="22" t="str">
        <x:f>IF(OR(O23="",P23=""),"",IF(O23&gt;P23,K23,IF(P23&gt;O23,J23,"Definir perdedor")))</x:f>
      </x:c>
      <x:c r="S23" s="23" t="str">
        <x:f>IF(AND(O23&lt;&gt;"",P23&lt;&gt;""),"Finalizado",IF(AND(L23&lt;&gt;"Definido",LEFT(A23,3)="R32"),L23,IF(AND(J23&lt;&gt;"",K23&lt;&gt;""),"Aberto",L23)))</x:f>
        <x:v>Pendente</x:v>
      </x:c>
    </x:row>
    <x:row r="24">
      <x:c r="A24" s="21" t="str">
        <x:v>R16-07</x:v>
      </x:c>
      <x:c r="B24" s="22" t="str">
        <x:v>Oitavas de final</x:v>
      </x:c>
      <x:c r="C24" s="22" t="n">
        <x:v>7</x:v>
      </x:c>
      <x:c r="D24" s="22" t="str"/>
      <x:c r="E24" s="22" t="str"/>
      <x:c r="F24" s="22" t="str">
        <x:v>V</x:v>
      </x:c>
      <x:c r="G24" s="22" t="str">
        <x:v>R32-13</x:v>
      </x:c>
      <x:c r="H24" s="22" t="str">
        <x:v>V</x:v>
      </x:c>
      <x:c r="I24" s="22" t="str">
        <x:v>R32-15</x:v>
      </x:c>
      <x:c r="J24" s="22" t="str">
        <x:f>IF(D24&lt;&gt;"",D24,IF(G24="","",IF(F24="P",XLOOKUP(G24,$A$2:$A$33,$R$2:$R$33,""),XLOOKUP(G24,$A$2:$A$33,$Q$2:$Q$33,""))))</x:f>
      </x:c>
      <x:c r="K24" s="22" t="str">
        <x:f>IF(E24&lt;&gt;"",E24,IF(I24="","",IF(H24="P",XLOOKUP(I24,$A$2:$A$33,$R$2:$R$33,""),XLOOKUP(I24,$A$2:$A$33,$Q$2:$Q$33,""))))</x:f>
      </x:c>
      <x:c r="L24" s="22" t="str">
        <x:v>Pendente</x:v>
      </x:c>
      <x:c r="M24" s="22" t="str"/>
      <x:c r="N24" s="22" t="str"/>
      <x:c r="O24" s="22" t="str"/>
      <x:c r="P24" s="22" t="str"/>
      <x:c r="Q24" s="22" t="str">
        <x:f>IF(OR(O24="",P24=""),"",IF(O24&gt;P24,J24,IF(P24&gt;O24,K24,"Empate/penaltis")))</x:f>
      </x:c>
      <x:c r="R24" s="22" t="str">
        <x:f>IF(OR(O24="",P24=""),"",IF(O24&gt;P24,K24,IF(P24&gt;O24,J24,"Definir perdedor")))</x:f>
      </x:c>
      <x:c r="S24" s="23" t="str">
        <x:f>IF(AND(O24&lt;&gt;"",P24&lt;&gt;""),"Finalizado",IF(AND(L24&lt;&gt;"Definido",LEFT(A24,3)="R32"),L24,IF(AND(J24&lt;&gt;"",K24&lt;&gt;""),"Aberto",L24)))</x:f>
        <x:v>Pendente</x:v>
      </x:c>
    </x:row>
    <x:row r="25">
      <x:c r="A25" s="21" t="str">
        <x:v>R16-08</x:v>
      </x:c>
      <x:c r="B25" s="22" t="str">
        <x:v>Oitavas de final</x:v>
      </x:c>
      <x:c r="C25" s="22" t="n">
        <x:v>8</x:v>
      </x:c>
      <x:c r="D25" s="22" t="str"/>
      <x:c r="E25" s="22" t="str"/>
      <x:c r="F25" s="22" t="str">
        <x:v>V</x:v>
      </x:c>
      <x:c r="G25" s="22" t="str">
        <x:v>R32-14</x:v>
      </x:c>
      <x:c r="H25" s="22" t="str">
        <x:v>V</x:v>
      </x:c>
      <x:c r="I25" s="22" t="str">
        <x:v>R32-16</x:v>
      </x:c>
      <x:c r="J25" s="22" t="str">
        <x:f>IF(D25&lt;&gt;"",D25,IF(G25="","",IF(F25="P",XLOOKUP(G25,$A$2:$A$33,$R$2:$R$33,""),XLOOKUP(G25,$A$2:$A$33,$Q$2:$Q$33,""))))</x:f>
      </x:c>
      <x:c r="K25" s="22" t="str">
        <x:f>IF(E25&lt;&gt;"",E25,IF(I25="","",IF(H25="P",XLOOKUP(I25,$A$2:$A$33,$R$2:$R$33,""),XLOOKUP(I25,$A$2:$A$33,$Q$2:$Q$33,""))))</x:f>
      </x:c>
      <x:c r="L25" s="22" t="str">
        <x:v>Pendente</x:v>
      </x:c>
      <x:c r="M25" s="22" t="str"/>
      <x:c r="N25" s="22" t="str"/>
      <x:c r="O25" s="22" t="str"/>
      <x:c r="P25" s="22" t="str"/>
      <x:c r="Q25" s="22" t="str">
        <x:f>IF(OR(O25="",P25=""),"",IF(O25&gt;P25,J25,IF(P25&gt;O25,K25,"Empate/penaltis")))</x:f>
      </x:c>
      <x:c r="R25" s="22" t="str">
        <x:f>IF(OR(O25="",P25=""),"",IF(O25&gt;P25,K25,IF(P25&gt;O25,J25,"Definir perdedor")))</x:f>
      </x:c>
      <x:c r="S25" s="23" t="str">
        <x:f>IF(AND(O25&lt;&gt;"",P25&lt;&gt;""),"Finalizado",IF(AND(L25&lt;&gt;"Definido",LEFT(A25,3)="R32"),L25,IF(AND(J25&lt;&gt;"",K25&lt;&gt;""),"Aberto",L25)))</x:f>
        <x:v>Pendente</x:v>
      </x:c>
    </x:row>
    <x:row r="26">
      <x:c r="A26" s="21" t="str">
        <x:v>QF-01</x:v>
      </x:c>
      <x:c r="B26" s="22" t="str">
        <x:v>Quartas de final</x:v>
      </x:c>
      <x:c r="C26" s="22" t="n">
        <x:v>1</x:v>
      </x:c>
      <x:c r="D26" s="22" t="str"/>
      <x:c r="E26" s="22" t="str"/>
      <x:c r="F26" s="22" t="str">
        <x:v>V</x:v>
      </x:c>
      <x:c r="G26" s="22" t="str">
        <x:v>R16-01</x:v>
      </x:c>
      <x:c r="H26" s="22" t="str">
        <x:v>V</x:v>
      </x:c>
      <x:c r="I26" s="22" t="str">
        <x:v>R16-02</x:v>
      </x:c>
      <x:c r="J26" s="22" t="str">
        <x:f>IF(D26&lt;&gt;"",D26,IF(G26="","",IF(F26="P",XLOOKUP(G26,$A$2:$A$33,$R$2:$R$33,""),XLOOKUP(G26,$A$2:$A$33,$Q$2:$Q$33,""))))</x:f>
      </x:c>
      <x:c r="K26" s="22" t="str">
        <x:f>IF(E26&lt;&gt;"",E26,IF(I26="","",IF(H26="P",XLOOKUP(I26,$A$2:$A$33,$R$2:$R$33,""),XLOOKUP(I26,$A$2:$A$33,$Q$2:$Q$33,""))))</x:f>
      </x:c>
      <x:c r="L26" s="22" t="str">
        <x:v>Pendente</x:v>
      </x:c>
      <x:c r="M26" s="22" t="str"/>
      <x:c r="N26" s="22" t="str"/>
      <x:c r="O26" s="22" t="str"/>
      <x:c r="P26" s="22" t="str"/>
      <x:c r="Q26" s="22" t="str">
        <x:f>IF(OR(O26="",P26=""),"",IF(O26&gt;P26,J26,IF(P26&gt;O26,K26,"Empate/penaltis")))</x:f>
      </x:c>
      <x:c r="R26" s="22" t="str">
        <x:f>IF(OR(O26="",P26=""),"",IF(O26&gt;P26,K26,IF(P26&gt;O26,J26,"Definir perdedor")))</x:f>
      </x:c>
      <x:c r="S26" s="23" t="str">
        <x:f>IF(AND(O26&lt;&gt;"",P26&lt;&gt;""),"Finalizado",IF(AND(L26&lt;&gt;"Definido",LEFT(A26,3)="R32"),L26,IF(AND(J26&lt;&gt;"",K26&lt;&gt;""),"Aberto",L26)))</x:f>
        <x:v>Pendente</x:v>
      </x:c>
    </x:row>
    <x:row r="27">
      <x:c r="A27" s="21" t="str">
        <x:v>QF-02</x:v>
      </x:c>
      <x:c r="B27" s="22" t="str">
        <x:v>Quartas de final</x:v>
      </x:c>
      <x:c r="C27" s="22" t="n">
        <x:v>2</x:v>
      </x:c>
      <x:c r="D27" s="22" t="str"/>
      <x:c r="E27" s="22" t="str"/>
      <x:c r="F27" s="22" t="str">
        <x:v>V</x:v>
      </x:c>
      <x:c r="G27" s="22" t="str">
        <x:v>R16-03</x:v>
      </x:c>
      <x:c r="H27" s="22" t="str">
        <x:v>V</x:v>
      </x:c>
      <x:c r="I27" s="22" t="str">
        <x:v>R16-04</x:v>
      </x:c>
      <x:c r="J27" s="22" t="str">
        <x:f>IF(D27&lt;&gt;"",D27,IF(G27="","",IF(F27="P",XLOOKUP(G27,$A$2:$A$33,$R$2:$R$33,""),XLOOKUP(G27,$A$2:$A$33,$Q$2:$Q$33,""))))</x:f>
      </x:c>
      <x:c r="K27" s="22" t="str">
        <x:f>IF(E27&lt;&gt;"",E27,IF(I27="","",IF(H27="P",XLOOKUP(I27,$A$2:$A$33,$R$2:$R$33,""),XLOOKUP(I27,$A$2:$A$33,$Q$2:$Q$33,""))))</x:f>
      </x:c>
      <x:c r="L27" s="22" t="str">
        <x:v>Pendente</x:v>
      </x:c>
      <x:c r="M27" s="22" t="str"/>
      <x:c r="N27" s="22" t="str"/>
      <x:c r="O27" s="22" t="str"/>
      <x:c r="P27" s="22" t="str"/>
      <x:c r="Q27" s="22" t="str">
        <x:f>IF(OR(O27="",P27=""),"",IF(O27&gt;P27,J27,IF(P27&gt;O27,K27,"Empate/penaltis")))</x:f>
      </x:c>
      <x:c r="R27" s="22" t="str">
        <x:f>IF(OR(O27="",P27=""),"",IF(O27&gt;P27,K27,IF(P27&gt;O27,J27,"Definir perdedor")))</x:f>
      </x:c>
      <x:c r="S27" s="23" t="str">
        <x:f>IF(AND(O27&lt;&gt;"",P27&lt;&gt;""),"Finalizado",IF(AND(L27&lt;&gt;"Definido",LEFT(A27,3)="R32"),L27,IF(AND(J27&lt;&gt;"",K27&lt;&gt;""),"Aberto",L27)))</x:f>
        <x:v>Pendente</x:v>
      </x:c>
    </x:row>
    <x:row r="28">
      <x:c r="A28" s="21" t="str">
        <x:v>QF-03</x:v>
      </x:c>
      <x:c r="B28" s="22" t="str">
        <x:v>Quartas de final</x:v>
      </x:c>
      <x:c r="C28" s="22" t="n">
        <x:v>3</x:v>
      </x:c>
      <x:c r="D28" s="22" t="str"/>
      <x:c r="E28" s="22" t="str"/>
      <x:c r="F28" s="22" t="str">
        <x:v>V</x:v>
      </x:c>
      <x:c r="G28" s="22" t="str">
        <x:v>R16-05</x:v>
      </x:c>
      <x:c r="H28" s="22" t="str">
        <x:v>V</x:v>
      </x:c>
      <x:c r="I28" s="22" t="str">
        <x:v>R16-06</x:v>
      </x:c>
      <x:c r="J28" s="22" t="str">
        <x:f>IF(D28&lt;&gt;"",D28,IF(G28="","",IF(F28="P",XLOOKUP(G28,$A$2:$A$33,$R$2:$R$33,""),XLOOKUP(G28,$A$2:$A$33,$Q$2:$Q$33,""))))</x:f>
      </x:c>
      <x:c r="K28" s="22" t="str">
        <x:f>IF(E28&lt;&gt;"",E28,IF(I28="","",IF(H28="P",XLOOKUP(I28,$A$2:$A$33,$R$2:$R$33,""),XLOOKUP(I28,$A$2:$A$33,$Q$2:$Q$33,""))))</x:f>
      </x:c>
      <x:c r="L28" s="22" t="str">
        <x:v>Pendente</x:v>
      </x:c>
      <x:c r="M28" s="22" t="str"/>
      <x:c r="N28" s="22" t="str"/>
      <x:c r="O28" s="22" t="str"/>
      <x:c r="P28" s="22" t="str"/>
      <x:c r="Q28" s="22" t="str">
        <x:f>IF(OR(O28="",P28=""),"",IF(O28&gt;P28,J28,IF(P28&gt;O28,K28,"Empate/penaltis")))</x:f>
      </x:c>
      <x:c r="R28" s="22" t="str">
        <x:f>IF(OR(O28="",P28=""),"",IF(O28&gt;P28,K28,IF(P28&gt;O28,J28,"Definir perdedor")))</x:f>
      </x:c>
      <x:c r="S28" s="23" t="str">
        <x:f>IF(AND(O28&lt;&gt;"",P28&lt;&gt;""),"Finalizado",IF(AND(L28&lt;&gt;"Definido",LEFT(A28,3)="R32"),L28,IF(AND(J28&lt;&gt;"",K28&lt;&gt;""),"Aberto",L28)))</x:f>
        <x:v>Pendente</x:v>
      </x:c>
    </x:row>
    <x:row r="29">
      <x:c r="A29" s="21" t="str">
        <x:v>QF-04</x:v>
      </x:c>
      <x:c r="B29" s="22" t="str">
        <x:v>Quartas de final</x:v>
      </x:c>
      <x:c r="C29" s="22" t="n">
        <x:v>4</x:v>
      </x:c>
      <x:c r="D29" s="22" t="str"/>
      <x:c r="E29" s="22" t="str"/>
      <x:c r="F29" s="22" t="str">
        <x:v>V</x:v>
      </x:c>
      <x:c r="G29" s="22" t="str">
        <x:v>R16-07</x:v>
      </x:c>
      <x:c r="H29" s="22" t="str">
        <x:v>V</x:v>
      </x:c>
      <x:c r="I29" s="22" t="str">
        <x:v>R16-08</x:v>
      </x:c>
      <x:c r="J29" s="22" t="str">
        <x:f>IF(D29&lt;&gt;"",D29,IF(G29="","",IF(F29="P",XLOOKUP(G29,$A$2:$A$33,$R$2:$R$33,""),XLOOKUP(G29,$A$2:$A$33,$Q$2:$Q$33,""))))</x:f>
      </x:c>
      <x:c r="K29" s="22" t="str">
        <x:f>IF(E29&lt;&gt;"",E29,IF(I29="","",IF(H29="P",XLOOKUP(I29,$A$2:$A$33,$R$2:$R$33,""),XLOOKUP(I29,$A$2:$A$33,$Q$2:$Q$33,""))))</x:f>
      </x:c>
      <x:c r="L29" s="22" t="str">
        <x:v>Pendente</x:v>
      </x:c>
      <x:c r="M29" s="22" t="str"/>
      <x:c r="N29" s="22" t="str"/>
      <x:c r="O29" s="22" t="str"/>
      <x:c r="P29" s="22" t="str"/>
      <x:c r="Q29" s="22" t="str">
        <x:f>IF(OR(O29="",P29=""),"",IF(O29&gt;P29,J29,IF(P29&gt;O29,K29,"Empate/penaltis")))</x:f>
      </x:c>
      <x:c r="R29" s="22" t="str">
        <x:f>IF(OR(O29="",P29=""),"",IF(O29&gt;P29,K29,IF(P29&gt;O29,J29,"Definir perdedor")))</x:f>
      </x:c>
      <x:c r="S29" s="23" t="str">
        <x:f>IF(AND(O29&lt;&gt;"",P29&lt;&gt;""),"Finalizado",IF(AND(L29&lt;&gt;"Definido",LEFT(A29,3)="R32"),L29,IF(AND(J29&lt;&gt;"",K29&lt;&gt;""),"Aberto",L29)))</x:f>
        <x:v>Pendente</x:v>
      </x:c>
    </x:row>
    <x:row r="30">
      <x:c r="A30" s="21" t="str">
        <x:v>SF-01</x:v>
      </x:c>
      <x:c r="B30" s="22" t="str">
        <x:v>Semi final</x:v>
      </x:c>
      <x:c r="C30" s="22" t="n">
        <x:v>1</x:v>
      </x:c>
      <x:c r="D30" s="22" t="str"/>
      <x:c r="E30" s="22" t="str"/>
      <x:c r="F30" s="22" t="str">
        <x:v>V</x:v>
      </x:c>
      <x:c r="G30" s="22" t="str">
        <x:v>QF-01</x:v>
      </x:c>
      <x:c r="H30" s="22" t="str">
        <x:v>V</x:v>
      </x:c>
      <x:c r="I30" s="22" t="str">
        <x:v>QF-02</x:v>
      </x:c>
      <x:c r="J30" s="22" t="str">
        <x:f>IF(D30&lt;&gt;"",D30,IF(G30="","",IF(F30="P",XLOOKUP(G30,$A$2:$A$33,$R$2:$R$33,""),XLOOKUP(G30,$A$2:$A$33,$Q$2:$Q$33,""))))</x:f>
      </x:c>
      <x:c r="K30" s="22" t="str">
        <x:f>IF(E30&lt;&gt;"",E30,IF(I30="","",IF(H30="P",XLOOKUP(I30,$A$2:$A$33,$R$2:$R$33,""),XLOOKUP(I30,$A$2:$A$33,$Q$2:$Q$33,""))))</x:f>
      </x:c>
      <x:c r="L30" s="22" t="str">
        <x:v>Pendente</x:v>
      </x:c>
      <x:c r="M30" s="22" t="str"/>
      <x:c r="N30" s="22" t="str"/>
      <x:c r="O30" s="22" t="str"/>
      <x:c r="P30" s="22" t="str"/>
      <x:c r="Q30" s="22" t="str">
        <x:f>IF(OR(O30="",P30=""),"",IF(O30&gt;P30,J30,IF(P30&gt;O30,K30,"Empate/penaltis")))</x:f>
      </x:c>
      <x:c r="R30" s="22" t="str">
        <x:f>IF(OR(O30="",P30=""),"",IF(O30&gt;P30,K30,IF(P30&gt;O30,J30,"Definir perdedor")))</x:f>
      </x:c>
      <x:c r="S30" s="23" t="str">
        <x:f>IF(AND(O30&lt;&gt;"",P30&lt;&gt;""),"Finalizado",IF(AND(L30&lt;&gt;"Definido",LEFT(A30,3)="R32"),L30,IF(AND(J30&lt;&gt;"",K30&lt;&gt;""),"Aberto",L30)))</x:f>
        <x:v>Pendente</x:v>
      </x:c>
    </x:row>
    <x:row r="31">
      <x:c r="A31" s="21" t="str">
        <x:v>SF-02</x:v>
      </x:c>
      <x:c r="B31" s="22" t="str">
        <x:v>Semi final</x:v>
      </x:c>
      <x:c r="C31" s="22" t="n">
        <x:v>2</x:v>
      </x:c>
      <x:c r="D31" s="22" t="str"/>
      <x:c r="E31" s="22" t="str"/>
      <x:c r="F31" s="22" t="str">
        <x:v>V</x:v>
      </x:c>
      <x:c r="G31" s="22" t="str">
        <x:v>QF-03</x:v>
      </x:c>
      <x:c r="H31" s="22" t="str">
        <x:v>V</x:v>
      </x:c>
      <x:c r="I31" s="22" t="str">
        <x:v>QF-04</x:v>
      </x:c>
      <x:c r="J31" s="22" t="str">
        <x:f>IF(D31&lt;&gt;"",D31,IF(G31="","",IF(F31="P",XLOOKUP(G31,$A$2:$A$33,$R$2:$R$33,""),XLOOKUP(G31,$A$2:$A$33,$Q$2:$Q$33,""))))</x:f>
      </x:c>
      <x:c r="K31" s="22" t="str">
        <x:f>IF(E31&lt;&gt;"",E31,IF(I31="","",IF(H31="P",XLOOKUP(I31,$A$2:$A$33,$R$2:$R$33,""),XLOOKUP(I31,$A$2:$A$33,$Q$2:$Q$33,""))))</x:f>
      </x:c>
      <x:c r="L31" s="22" t="str">
        <x:v>Pendente</x:v>
      </x:c>
      <x:c r="M31" s="22" t="str"/>
      <x:c r="N31" s="22" t="str"/>
      <x:c r="O31" s="22" t="str"/>
      <x:c r="P31" s="22" t="str"/>
      <x:c r="Q31" s="22" t="str">
        <x:f>IF(OR(O31="",P31=""),"",IF(O31&gt;P31,J31,IF(P31&gt;O31,K31,"Empate/penaltis")))</x:f>
      </x:c>
      <x:c r="R31" s="22" t="str">
        <x:f>IF(OR(O31="",P31=""),"",IF(O31&gt;P31,K31,IF(P31&gt;O31,J31,"Definir perdedor")))</x:f>
      </x:c>
      <x:c r="S31" s="23" t="str">
        <x:f>IF(AND(O31&lt;&gt;"",P31&lt;&gt;""),"Finalizado",IF(AND(L31&lt;&gt;"Definido",LEFT(A31,3)="R32"),L31,IF(AND(J31&lt;&gt;"",K31&lt;&gt;""),"Aberto",L31)))</x:f>
        <x:v>Pendente</x:v>
      </x:c>
    </x:row>
    <x:row r="32">
      <x:c r="A32" s="21" t="str">
        <x:v>FINAL</x:v>
      </x:c>
      <x:c r="B32" s="22" t="str">
        <x:v>Final</x:v>
      </x:c>
      <x:c r="C32" s="22" t="n">
        <x:v>1</x:v>
      </x:c>
      <x:c r="D32" s="22" t="str"/>
      <x:c r="E32" s="22" t="str"/>
      <x:c r="F32" s="22" t="str">
        <x:v>V</x:v>
      </x:c>
      <x:c r="G32" s="22" t="str">
        <x:v>SF-01</x:v>
      </x:c>
      <x:c r="H32" s="22" t="str">
        <x:v>V</x:v>
      </x:c>
      <x:c r="I32" s="22" t="str">
        <x:v>SF-02</x:v>
      </x:c>
      <x:c r="J32" s="22" t="str">
        <x:f>IF(D32&lt;&gt;"",D32,IF(G32="","",IF(F32="P",XLOOKUP(G32,$A$2:$A$33,$R$2:$R$33,""),XLOOKUP(G32,$A$2:$A$33,$Q$2:$Q$33,""))))</x:f>
      </x:c>
      <x:c r="K32" s="22" t="str">
        <x:f>IF(E32&lt;&gt;"",E32,IF(I32="","",IF(H32="P",XLOOKUP(I32,$A$2:$A$33,$R$2:$R$33,""),XLOOKUP(I32,$A$2:$A$33,$Q$2:$Q$33,""))))</x:f>
      </x:c>
      <x:c r="L32" s="22" t="str">
        <x:v>Pendente</x:v>
      </x:c>
      <x:c r="M32" s="22" t="str"/>
      <x:c r="N32" s="22" t="str"/>
      <x:c r="O32" s="22" t="str"/>
      <x:c r="P32" s="22" t="str"/>
      <x:c r="Q32" s="22">
        <x:f>IF(OR(O32="",P32=""),"",IF(O32&gt;P32,J32,IF(P32&gt;O32,K32,"Empate/penaltis")))</x:f>
      </x:c>
      <x:c r="R32" s="22" t="str">
        <x:f>IF(OR(O32="",P32=""),"",IF(O32&gt;P32,K32,IF(P32&gt;O32,J32,"Definir perdedor")))</x:f>
      </x:c>
      <x:c r="S32" s="23" t="str">
        <x:f>IF(AND(O32&lt;&gt;"",P32&lt;&gt;""),"Finalizado",IF(AND(L32&lt;&gt;"Definido",LEFT(A32,3)="R32"),L32,IF(AND(J32&lt;&gt;"",K32&lt;&gt;""),"Aberto",L32)))</x:f>
        <x:v>Pendente</x:v>
      </x:c>
    </x:row>
    <x:row r="33">
      <x:c r="A33" s="24" t="str">
        <x:v>3LUGAR</x:v>
      </x:c>
      <x:c r="B33" s="25" t="str">
        <x:v>Disputa de 3º Lugar</x:v>
      </x:c>
      <x:c r="C33" s="25" t="n">
        <x:v>1</x:v>
      </x:c>
      <x:c r="D33" s="25" t="str"/>
      <x:c r="E33" s="25" t="str"/>
      <x:c r="F33" s="25" t="str">
        <x:v>P</x:v>
      </x:c>
      <x:c r="G33" s="25" t="str">
        <x:v>SF-01</x:v>
      </x:c>
      <x:c r="H33" s="25" t="str">
        <x:v>P</x:v>
      </x:c>
      <x:c r="I33" s="25" t="str">
        <x:v>SF-02</x:v>
      </x:c>
      <x:c r="J33" s="25" t="str">
        <x:f>IF(D33&lt;&gt;"",D33,IF(G33="","",IF(F33="P",XLOOKUP(G33,$A$2:$A$33,$R$2:$R$33,""),XLOOKUP(G33,$A$2:$A$33,$Q$2:$Q$33,""))))</x:f>
      </x:c>
      <x:c r="K33" s="25" t="str">
        <x:f>IF(E33&lt;&gt;"",E33,IF(I33="","",IF(H33="P",XLOOKUP(I33,$A$2:$A$33,$R$2:$R$33,""),XLOOKUP(I33,$A$2:$A$33,$Q$2:$Q$33,""))))</x:f>
      </x:c>
      <x:c r="L33" s="25" t="str">
        <x:v>Pendente</x:v>
      </x:c>
      <x:c r="M33" s="25" t="str"/>
      <x:c r="N33" s="25" t="str"/>
      <x:c r="O33" s="25" t="str"/>
      <x:c r="P33" s="25" t="str"/>
      <x:c r="Q33" s="25">
        <x:f>IF(OR(O33="",P33=""),"",IF(O33&gt;P33,J33,IF(P33&gt;O33,K33,"Empate/penaltis")))</x:f>
      </x:c>
      <x:c r="R33" s="25">
        <x:f>IF(OR(O33="",P33=""),"",IF(O33&gt;P33,K33,IF(P33&gt;O33,J33,"Definir perdedor")))</x:f>
      </x:c>
      <x:c r="S33" s="26" t="str">
        <x:f>IF(AND(O33&lt;&gt;"",P33&lt;&gt;""),"Finalizado",IF(AND(L33&lt;&gt;"Definido",LEFT(A33,3)="R32"),L33,IF(AND(J33&lt;&gt;"",K33&lt;&gt;""),"Aberto",L33)))</x:f>
        <x:v>Pendente</x:v>
      </x:c>
    </x:row>
  </x:sheetData>
  <x:dataValidations count="1">
    <x:dataValidation type="whole" operator="between" sqref="O1:P1">
      <x:formula1>0</x:formula1>
      <x:formula2>20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2" hidden="0" customWidth="1"/>
    <x:col min="3" max="3" width="7.630000114440918" hidden="0" customWidth="1"/>
    <x:col min="4" max="4" width="3.630000114440918" hidden="0" customWidth="1"/>
    <x:col min="5" max="5" width="24" hidden="0" customWidth="1"/>
    <x:col min="6" max="6" width="24" hidden="0" customWidth="1"/>
    <x:col min="7" max="7" width="9.380000114440918" hidden="0" customWidth="1"/>
    <x:col min="8" max="8" width="9" hidden="0" customWidth="1"/>
    <x:col min="9" max="9" width="5.5" hidden="0" customWidth="1"/>
    <x:col min="10" max="10" width="5.380000114440918" hidden="0" customWidth="1"/>
  </x:cols>
  <x:sheetData>
    <x:row r="1">
      <x:c r="A1" s="31" t="str">
        <x:v>participant_id</x:v>
      </x:c>
      <x:c r="B1" s="31" t="str">
        <x:v>participant_name</x:v>
      </x:c>
      <x:c r="C1" s="31" t="str">
        <x:v>match_id</x:v>
      </x:c>
      <x:c r="D1" s="31" t="str">
        <x:v>fase</x:v>
      </x:c>
      <x:c r="E1" s="31" t="str">
        <x:v>mandante</x:v>
      </x:c>
      <x:c r="F1" s="31" t="str">
        <x:v>visitante</x:v>
      </x:c>
      <x:c r="G1" s="31" t="str">
        <x:v>pred_home</x:v>
      </x:c>
      <x:c r="H1" s="31" t="str">
        <x:v>pred_away</x:v>
      </x:c>
      <x:c r="I1" s="31" t="str">
        <x:v>locked</x:v>
      </x:c>
      <x:c r="J1" s="31" t="str">
        <x:v>points</x:v>
      </x:c>
    </x:row>
    <x:row r="2">
      <x:c r="A2" s="18" t="str"/>
      <x:c r="B2" s="19" t="str"/>
      <x:c r="C2" s="19" t="str"/>
      <x:c r="D2" s="19" t="str">
        <x:f>IF(C2="","",XLOOKUP(C2,'Jogos_MataMata'!$A$2:$A$33,'Jogos_MataMata'!$B$2:$B$33,""))</x:f>
      </x:c>
      <x:c r="E2" s="19" t="str">
        <x:f>IF(C2="","",XLOOKUP(C2,'Jogos_MataMata'!$A$2:$A$33,'Jogos_MataMata'!$J$2:$J$33,""))</x:f>
      </x:c>
      <x:c r="F2" s="19" t="str">
        <x:f>IF(C2="","",XLOOKUP(C2,'Jogos_MataMata'!$A$2:$A$33,'Jogos_MataMata'!$K$2:$K$33,""))</x:f>
      </x:c>
      <x:c r="G2" s="19" t="str"/>
      <x:c r="H2" s="19" t="str"/>
      <x:c r="I2" s="19" t="str">
        <x:f>IF(AND(G2&lt;&gt;"",H2&lt;&gt;""),"SIM","NAO")</x:f>
        <x:v>NAO</x:v>
      </x:c>
      <x:c r="J2" s="20" t="str">
        <x:f>IF(OR(C2="",G2="",H2=""),"",LET(hs,XLOOKUP(C2,'Jogos_MataMata'!$A$2:$A$33,'Jogos_MataMata'!$O$2:$O$33,""),as,XLOOKUP(C2,'Jogos_MataMata'!$A$2:$A$33,'Jogos_MataMata'!$P$2:$P$33,""),win,XLOOKUP(C2,'Jogos_MataMata'!$A$2:$A$33,'Jogos_MataMata'!$Q$2:$Q$33,""),predWin,IF(G2&gt;H2,E2,IF(H2&gt;G2,F2,"")),IF(OR(hs="",as="",win=""),"",IF(predWin=win,IF(ABS(G2-H2)=ABS(hs-as),8,3),0))))</x:f>
      </x:c>
    </x:row>
    <x:row r="3">
      <x:c r="A3" s="21" t="str"/>
      <x:c r="B3" s="22" t="str"/>
      <x:c r="C3" s="22" t="str"/>
      <x:c r="D3" s="22" t="str">
        <x:f>IF(C3="","",XLOOKUP(C3,'Jogos_MataMata'!$A$2:$A$33,'Jogos_MataMata'!$B$2:$B$33,""))</x:f>
      </x:c>
      <x:c r="E3" s="22" t="str">
        <x:f>IF(C3="","",XLOOKUP(C3,'Jogos_MataMata'!$A$2:$A$33,'Jogos_MataMata'!$J$2:$J$33,""))</x:f>
      </x:c>
      <x:c r="F3" s="22" t="str">
        <x:f>IF(C3="","",XLOOKUP(C3,'Jogos_MataMata'!$A$2:$A$33,'Jogos_MataMata'!$K$2:$K$33,""))</x:f>
      </x:c>
      <x:c r="G3" s="22" t="str"/>
      <x:c r="H3" s="22" t="str"/>
      <x:c r="I3" s="22" t="str">
        <x:f>IF(AND(G3&lt;&gt;"",H3&lt;&gt;""),"SIM","NAO")</x:f>
        <x:v>NAO</x:v>
      </x:c>
      <x:c r="J3" s="23" t="str">
        <x:f>IF(OR(C3="",G3="",H3=""),"",LET(hs,XLOOKUP(C3,'Jogos_MataMata'!$A$2:$A$33,'Jogos_MataMata'!$O$2:$O$33,""),as,XLOOKUP(C3,'Jogos_MataMata'!$A$2:$A$33,'Jogos_MataMata'!$P$2:$P$33,""),win,XLOOKUP(C3,'Jogos_MataMata'!$A$2:$A$33,'Jogos_MataMata'!$Q$2:$Q$33,""),predWin,IF(G3&gt;H3,E3,IF(H3&gt;G3,F3,"")),IF(OR(hs="",as="",win=""),"",IF(predWin=win,IF(ABS(G3-H3)=ABS(hs-as),8,3),0))))</x:f>
      </x:c>
    </x:row>
    <x:row r="4">
      <x:c r="A4" s="21" t="str"/>
      <x:c r="B4" s="22" t="str"/>
      <x:c r="C4" s="22" t="str"/>
      <x:c r="D4" s="22" t="str">
        <x:f>IF(C4="","",XLOOKUP(C4,'Jogos_MataMata'!$A$2:$A$33,'Jogos_MataMata'!$B$2:$B$33,""))</x:f>
      </x:c>
      <x:c r="E4" s="22" t="str">
        <x:f>IF(C4="","",XLOOKUP(C4,'Jogos_MataMata'!$A$2:$A$33,'Jogos_MataMata'!$J$2:$J$33,""))</x:f>
      </x:c>
      <x:c r="F4" s="22" t="str">
        <x:f>IF(C4="","",XLOOKUP(C4,'Jogos_MataMata'!$A$2:$A$33,'Jogos_MataMata'!$K$2:$K$33,""))</x:f>
      </x:c>
      <x:c r="G4" s="22" t="str"/>
      <x:c r="H4" s="22" t="str"/>
      <x:c r="I4" s="22" t="str">
        <x:f>IF(AND(G4&lt;&gt;"",H4&lt;&gt;""),"SIM","NAO")</x:f>
        <x:v>NAO</x:v>
      </x:c>
      <x:c r="J4" s="23" t="str">
        <x:f>IF(OR(C4="",G4="",H4=""),"",LET(hs,XLOOKUP(C4,'Jogos_MataMata'!$A$2:$A$33,'Jogos_MataMata'!$O$2:$O$33,""),as,XLOOKUP(C4,'Jogos_MataMata'!$A$2:$A$33,'Jogos_MataMata'!$P$2:$P$33,""),win,XLOOKUP(C4,'Jogos_MataMata'!$A$2:$A$33,'Jogos_MataMata'!$Q$2:$Q$33,""),predWin,IF(G4&gt;H4,E4,IF(H4&gt;G4,F4,"")),IF(OR(hs="",as="",win=""),"",IF(predWin=win,IF(ABS(G4-H4)=ABS(hs-as),8,3),0))))</x:f>
      </x:c>
    </x:row>
    <x:row r="5">
      <x:c r="A5" s="21" t="str"/>
      <x:c r="B5" s="22" t="str"/>
      <x:c r="C5" s="22" t="str"/>
      <x:c r="D5" s="22" t="str">
        <x:f>IF(C5="","",XLOOKUP(C5,'Jogos_MataMata'!$A$2:$A$33,'Jogos_MataMata'!$B$2:$B$33,""))</x:f>
      </x:c>
      <x:c r="E5" s="22" t="str">
        <x:f>IF(C5="","",XLOOKUP(C5,'Jogos_MataMata'!$A$2:$A$33,'Jogos_MataMata'!$J$2:$J$33,""))</x:f>
      </x:c>
      <x:c r="F5" s="22" t="str">
        <x:f>IF(C5="","",XLOOKUP(C5,'Jogos_MataMata'!$A$2:$A$33,'Jogos_MataMata'!$K$2:$K$33,""))</x:f>
      </x:c>
      <x:c r="G5" s="22" t="str"/>
      <x:c r="H5" s="22" t="str"/>
      <x:c r="I5" s="22" t="str">
        <x:f>IF(AND(G5&lt;&gt;"",H5&lt;&gt;""),"SIM","NAO")</x:f>
        <x:v>NAO</x:v>
      </x:c>
      <x:c r="J5" s="23" t="str">
        <x:f>IF(OR(C5="",G5="",H5=""),"",LET(hs,XLOOKUP(C5,'Jogos_MataMata'!$A$2:$A$33,'Jogos_MataMata'!$O$2:$O$33,""),as,XLOOKUP(C5,'Jogos_MataMata'!$A$2:$A$33,'Jogos_MataMata'!$P$2:$P$33,""),win,XLOOKUP(C5,'Jogos_MataMata'!$A$2:$A$33,'Jogos_MataMata'!$Q$2:$Q$33,""),predWin,IF(G5&gt;H5,E5,IF(H5&gt;G5,F5,"")),IF(OR(hs="",as="",win=""),"",IF(predWin=win,IF(ABS(G5-H5)=ABS(hs-as),8,3),0))))</x:f>
      </x:c>
    </x:row>
    <x:row r="6">
      <x:c r="A6" s="21" t="str"/>
      <x:c r="B6" s="22" t="str"/>
      <x:c r="C6" s="22" t="str"/>
      <x:c r="D6" s="22" t="str">
        <x:f>IF(C6="","",XLOOKUP(C6,'Jogos_MataMata'!$A$2:$A$33,'Jogos_MataMata'!$B$2:$B$33,""))</x:f>
      </x:c>
      <x:c r="E6" s="22" t="str">
        <x:f>IF(C6="","",XLOOKUP(C6,'Jogos_MataMata'!$A$2:$A$33,'Jogos_MataMata'!$J$2:$J$33,""))</x:f>
      </x:c>
      <x:c r="F6" s="22" t="str">
        <x:f>IF(C6="","",XLOOKUP(C6,'Jogos_MataMata'!$A$2:$A$33,'Jogos_MataMata'!$K$2:$K$33,""))</x:f>
      </x:c>
      <x:c r="G6" s="22" t="str"/>
      <x:c r="H6" s="22" t="str"/>
      <x:c r="I6" s="22" t="str">
        <x:f>IF(AND(G6&lt;&gt;"",H6&lt;&gt;""),"SIM","NAO")</x:f>
        <x:v>NAO</x:v>
      </x:c>
      <x:c r="J6" s="23" t="str">
        <x:f>IF(OR(C6="",G6="",H6=""),"",LET(hs,XLOOKUP(C6,'Jogos_MataMata'!$A$2:$A$33,'Jogos_MataMata'!$O$2:$O$33,""),as,XLOOKUP(C6,'Jogos_MataMata'!$A$2:$A$33,'Jogos_MataMata'!$P$2:$P$33,""),win,XLOOKUP(C6,'Jogos_MataMata'!$A$2:$A$33,'Jogos_MataMata'!$Q$2:$Q$33,""),predWin,IF(G6&gt;H6,E6,IF(H6&gt;G6,F6,"")),IF(OR(hs="",as="",win=""),"",IF(predWin=win,IF(ABS(G6-H6)=ABS(hs-as),8,3),0))))</x:f>
      </x:c>
    </x:row>
    <x:row r="7">
      <x:c r="A7" s="21" t="str"/>
      <x:c r="B7" s="22" t="str"/>
      <x:c r="C7" s="22" t="str"/>
      <x:c r="D7" s="22" t="str">
        <x:f>IF(C7="","",XLOOKUP(C7,'Jogos_MataMata'!$A$2:$A$33,'Jogos_MataMata'!$B$2:$B$33,""))</x:f>
      </x:c>
      <x:c r="E7" s="22" t="str">
        <x:f>IF(C7="","",XLOOKUP(C7,'Jogos_MataMata'!$A$2:$A$33,'Jogos_MataMata'!$J$2:$J$33,""))</x:f>
      </x:c>
      <x:c r="F7" s="22" t="str">
        <x:f>IF(C7="","",XLOOKUP(C7,'Jogos_MataMata'!$A$2:$A$33,'Jogos_MataMata'!$K$2:$K$33,""))</x:f>
      </x:c>
      <x:c r="G7" s="22" t="str"/>
      <x:c r="H7" s="22" t="str"/>
      <x:c r="I7" s="22" t="str">
        <x:f>IF(AND(G7&lt;&gt;"",H7&lt;&gt;""),"SIM","NAO")</x:f>
        <x:v>NAO</x:v>
      </x:c>
      <x:c r="J7" s="23" t="str">
        <x:f>IF(OR(C7="",G7="",H7=""),"",LET(hs,XLOOKUP(C7,'Jogos_MataMata'!$A$2:$A$33,'Jogos_MataMata'!$O$2:$O$33,""),as,XLOOKUP(C7,'Jogos_MataMata'!$A$2:$A$33,'Jogos_MataMata'!$P$2:$P$33,""),win,XLOOKUP(C7,'Jogos_MataMata'!$A$2:$A$33,'Jogos_MataMata'!$Q$2:$Q$33,""),predWin,IF(G7&gt;H7,E7,IF(H7&gt;G7,F7,"")),IF(OR(hs="",as="",win=""),"",IF(predWin=win,IF(ABS(G7-H7)=ABS(hs-as),8,3),0))))</x:f>
      </x:c>
    </x:row>
    <x:row r="8">
      <x:c r="A8" s="21" t="str"/>
      <x:c r="B8" s="22" t="str"/>
      <x:c r="C8" s="22" t="str"/>
      <x:c r="D8" s="22" t="str">
        <x:f>IF(C8="","",XLOOKUP(C8,'Jogos_MataMata'!$A$2:$A$33,'Jogos_MataMata'!$B$2:$B$33,""))</x:f>
      </x:c>
      <x:c r="E8" s="22" t="str">
        <x:f>IF(C8="","",XLOOKUP(C8,'Jogos_MataMata'!$A$2:$A$33,'Jogos_MataMata'!$J$2:$J$33,""))</x:f>
      </x:c>
      <x:c r="F8" s="22" t="str">
        <x:f>IF(C8="","",XLOOKUP(C8,'Jogos_MataMata'!$A$2:$A$33,'Jogos_MataMata'!$K$2:$K$33,""))</x:f>
      </x:c>
      <x:c r="G8" s="22" t="str"/>
      <x:c r="H8" s="22" t="str"/>
      <x:c r="I8" s="22" t="str">
        <x:f>IF(AND(G8&lt;&gt;"",H8&lt;&gt;""),"SIM","NAO")</x:f>
        <x:v>NAO</x:v>
      </x:c>
      <x:c r="J8" s="23" t="str">
        <x:f>IF(OR(C8="",G8="",H8=""),"",LET(hs,XLOOKUP(C8,'Jogos_MataMata'!$A$2:$A$33,'Jogos_MataMata'!$O$2:$O$33,""),as,XLOOKUP(C8,'Jogos_MataMata'!$A$2:$A$33,'Jogos_MataMata'!$P$2:$P$33,""),win,XLOOKUP(C8,'Jogos_MataMata'!$A$2:$A$33,'Jogos_MataMata'!$Q$2:$Q$33,""),predWin,IF(G8&gt;H8,E8,IF(H8&gt;G8,F8,"")),IF(OR(hs="",as="",win=""),"",IF(predWin=win,IF(ABS(G8-H8)=ABS(hs-as),8,3),0))))</x:f>
      </x:c>
    </x:row>
    <x:row r="9">
      <x:c r="A9" s="21" t="str"/>
      <x:c r="B9" s="22" t="str"/>
      <x:c r="C9" s="22" t="str"/>
      <x:c r="D9" s="22" t="str">
        <x:f>IF(C9="","",XLOOKUP(C9,'Jogos_MataMata'!$A$2:$A$33,'Jogos_MataMata'!$B$2:$B$33,""))</x:f>
      </x:c>
      <x:c r="E9" s="22" t="str">
        <x:f>IF(C9="","",XLOOKUP(C9,'Jogos_MataMata'!$A$2:$A$33,'Jogos_MataMata'!$J$2:$J$33,""))</x:f>
      </x:c>
      <x:c r="F9" s="22" t="str">
        <x:f>IF(C9="","",XLOOKUP(C9,'Jogos_MataMata'!$A$2:$A$33,'Jogos_MataMata'!$K$2:$K$33,""))</x:f>
      </x:c>
      <x:c r="G9" s="22" t="str"/>
      <x:c r="H9" s="22" t="str"/>
      <x:c r="I9" s="22" t="str">
        <x:f>IF(AND(G9&lt;&gt;"",H9&lt;&gt;""),"SIM","NAO")</x:f>
        <x:v>NAO</x:v>
      </x:c>
      <x:c r="J9" s="23" t="str">
        <x:f>IF(OR(C9="",G9="",H9=""),"",LET(hs,XLOOKUP(C9,'Jogos_MataMata'!$A$2:$A$33,'Jogos_MataMata'!$O$2:$O$33,""),as,XLOOKUP(C9,'Jogos_MataMata'!$A$2:$A$33,'Jogos_MataMata'!$P$2:$P$33,""),win,XLOOKUP(C9,'Jogos_MataMata'!$A$2:$A$33,'Jogos_MataMata'!$Q$2:$Q$33,""),predWin,IF(G9&gt;H9,E9,IF(H9&gt;G9,F9,"")),IF(OR(hs="",as="",win=""),"",IF(predWin=win,IF(ABS(G9-H9)=ABS(hs-as),8,3),0))))</x:f>
      </x:c>
    </x:row>
    <x:row r="10">
      <x:c r="A10" s="21" t="str"/>
      <x:c r="B10" s="22" t="str"/>
      <x:c r="C10" s="22" t="str"/>
      <x:c r="D10" s="22" t="str">
        <x:f>IF(C10="","",XLOOKUP(C10,'Jogos_MataMata'!$A$2:$A$33,'Jogos_MataMata'!$B$2:$B$33,""))</x:f>
      </x:c>
      <x:c r="E10" s="22" t="str">
        <x:f>IF(C10="","",XLOOKUP(C10,'Jogos_MataMata'!$A$2:$A$33,'Jogos_MataMata'!$J$2:$J$33,""))</x:f>
      </x:c>
      <x:c r="F10" s="22" t="str">
        <x:f>IF(C10="","",XLOOKUP(C10,'Jogos_MataMata'!$A$2:$A$33,'Jogos_MataMata'!$K$2:$K$33,""))</x:f>
      </x:c>
      <x:c r="G10" s="22" t="str"/>
      <x:c r="H10" s="22" t="str"/>
      <x:c r="I10" s="22" t="str">
        <x:f>IF(AND(G10&lt;&gt;"",H10&lt;&gt;""),"SIM","NAO")</x:f>
        <x:v>NAO</x:v>
      </x:c>
      <x:c r="J10" s="23" t="str">
        <x:f>IF(OR(C10="",G10="",H10=""),"",LET(hs,XLOOKUP(C10,'Jogos_MataMata'!$A$2:$A$33,'Jogos_MataMata'!$O$2:$O$33,""),as,XLOOKUP(C10,'Jogos_MataMata'!$A$2:$A$33,'Jogos_MataMata'!$P$2:$P$33,""),win,XLOOKUP(C10,'Jogos_MataMata'!$A$2:$A$33,'Jogos_MataMata'!$Q$2:$Q$33,""),predWin,IF(G10&gt;H10,E10,IF(H10&gt;G10,F10,"")),IF(OR(hs="",as="",win=""),"",IF(predWin=win,IF(ABS(G10-H10)=ABS(hs-as),8,3),0))))</x:f>
      </x:c>
    </x:row>
    <x:row r="11">
      <x:c r="A11" s="21" t="str"/>
      <x:c r="B11" s="22" t="str"/>
      <x:c r="C11" s="22" t="str"/>
      <x:c r="D11" s="22" t="str">
        <x:f>IF(C11="","",XLOOKUP(C11,'Jogos_MataMata'!$A$2:$A$33,'Jogos_MataMata'!$B$2:$B$33,""))</x:f>
      </x:c>
      <x:c r="E11" s="22" t="str">
        <x:f>IF(C11="","",XLOOKUP(C11,'Jogos_MataMata'!$A$2:$A$33,'Jogos_MataMata'!$J$2:$J$33,""))</x:f>
      </x:c>
      <x:c r="F11" s="22" t="str">
        <x:f>IF(C11="","",XLOOKUP(C11,'Jogos_MataMata'!$A$2:$A$33,'Jogos_MataMata'!$K$2:$K$33,""))</x:f>
      </x:c>
      <x:c r="G11" s="22" t="str"/>
      <x:c r="H11" s="22" t="str"/>
      <x:c r="I11" s="22" t="str">
        <x:f>IF(AND(G11&lt;&gt;"",H11&lt;&gt;""),"SIM","NAO")</x:f>
        <x:v>NAO</x:v>
      </x:c>
      <x:c r="J11" s="23" t="str">
        <x:f>IF(OR(C11="",G11="",H11=""),"",LET(hs,XLOOKUP(C11,'Jogos_MataMata'!$A$2:$A$33,'Jogos_MataMata'!$O$2:$O$33,""),as,XLOOKUP(C11,'Jogos_MataMata'!$A$2:$A$33,'Jogos_MataMata'!$P$2:$P$33,""),win,XLOOKUP(C11,'Jogos_MataMata'!$A$2:$A$33,'Jogos_MataMata'!$Q$2:$Q$33,""),predWin,IF(G11&gt;H11,E11,IF(H11&gt;G11,F11,"")),IF(OR(hs="",as="",win=""),"",IF(predWin=win,IF(ABS(G11-H11)=ABS(hs-as),8,3),0))))</x:f>
      </x:c>
    </x:row>
    <x:row r="12">
      <x:c r="A12" s="21" t="str"/>
      <x:c r="B12" s="22" t="str"/>
      <x:c r="C12" s="22" t="str"/>
      <x:c r="D12" s="22" t="str">
        <x:f>IF(C12="","",XLOOKUP(C12,'Jogos_MataMata'!$A$2:$A$33,'Jogos_MataMata'!$B$2:$B$33,""))</x:f>
      </x:c>
      <x:c r="E12" s="22" t="str">
        <x:f>IF(C12="","",XLOOKUP(C12,'Jogos_MataMata'!$A$2:$A$33,'Jogos_MataMata'!$J$2:$J$33,""))</x:f>
      </x:c>
      <x:c r="F12" s="22" t="str">
        <x:f>IF(C12="","",XLOOKUP(C12,'Jogos_MataMata'!$A$2:$A$33,'Jogos_MataMata'!$K$2:$K$33,""))</x:f>
      </x:c>
      <x:c r="G12" s="22" t="str"/>
      <x:c r="H12" s="22" t="str"/>
      <x:c r="I12" s="22" t="str">
        <x:f>IF(AND(G12&lt;&gt;"",H12&lt;&gt;""),"SIM","NAO")</x:f>
        <x:v>NAO</x:v>
      </x:c>
      <x:c r="J12" s="23" t="str">
        <x:f>IF(OR(C12="",G12="",H12=""),"",LET(hs,XLOOKUP(C12,'Jogos_MataMata'!$A$2:$A$33,'Jogos_MataMata'!$O$2:$O$33,""),as,XLOOKUP(C12,'Jogos_MataMata'!$A$2:$A$33,'Jogos_MataMata'!$P$2:$P$33,""),win,XLOOKUP(C12,'Jogos_MataMata'!$A$2:$A$33,'Jogos_MataMata'!$Q$2:$Q$33,""),predWin,IF(G12&gt;H12,E12,IF(H12&gt;G12,F12,"")),IF(OR(hs="",as="",win=""),"",IF(predWin=win,IF(ABS(G12-H12)=ABS(hs-as),8,3),0))))</x:f>
      </x:c>
    </x:row>
    <x:row r="13">
      <x:c r="A13" s="21" t="str"/>
      <x:c r="B13" s="22" t="str"/>
      <x:c r="C13" s="22" t="str"/>
      <x:c r="D13" s="22" t="str">
        <x:f>IF(C13="","",XLOOKUP(C13,'Jogos_MataMata'!$A$2:$A$33,'Jogos_MataMata'!$B$2:$B$33,""))</x:f>
      </x:c>
      <x:c r="E13" s="22" t="str">
        <x:f>IF(C13="","",XLOOKUP(C13,'Jogos_MataMata'!$A$2:$A$33,'Jogos_MataMata'!$J$2:$J$33,""))</x:f>
      </x:c>
      <x:c r="F13" s="22" t="str">
        <x:f>IF(C13="","",XLOOKUP(C13,'Jogos_MataMata'!$A$2:$A$33,'Jogos_MataMata'!$K$2:$K$33,""))</x:f>
      </x:c>
      <x:c r="G13" s="22" t="str"/>
      <x:c r="H13" s="22" t="str"/>
      <x:c r="I13" s="22" t="str">
        <x:f>IF(AND(G13&lt;&gt;"",H13&lt;&gt;""),"SIM","NAO")</x:f>
        <x:v>NAO</x:v>
      </x:c>
      <x:c r="J13" s="23" t="str">
        <x:f>IF(OR(C13="",G13="",H13=""),"",LET(hs,XLOOKUP(C13,'Jogos_MataMata'!$A$2:$A$33,'Jogos_MataMata'!$O$2:$O$33,""),as,XLOOKUP(C13,'Jogos_MataMata'!$A$2:$A$33,'Jogos_MataMata'!$P$2:$P$33,""),win,XLOOKUP(C13,'Jogos_MataMata'!$A$2:$A$33,'Jogos_MataMata'!$Q$2:$Q$33,""),predWin,IF(G13&gt;H13,E13,IF(H13&gt;G13,F13,"")),IF(OR(hs="",as="",win=""),"",IF(predWin=win,IF(ABS(G13-H13)=ABS(hs-as),8,3),0))))</x:f>
      </x:c>
    </x:row>
    <x:row r="14">
      <x:c r="A14" s="21" t="str"/>
      <x:c r="B14" s="22" t="str"/>
      <x:c r="C14" s="22" t="str"/>
      <x:c r="D14" s="22" t="str">
        <x:f>IF(C14="","",XLOOKUP(C14,'Jogos_MataMata'!$A$2:$A$33,'Jogos_MataMata'!$B$2:$B$33,""))</x:f>
      </x:c>
      <x:c r="E14" s="22" t="str">
        <x:f>IF(C14="","",XLOOKUP(C14,'Jogos_MataMata'!$A$2:$A$33,'Jogos_MataMata'!$J$2:$J$33,""))</x:f>
      </x:c>
      <x:c r="F14" s="22" t="str">
        <x:f>IF(C14="","",XLOOKUP(C14,'Jogos_MataMata'!$A$2:$A$33,'Jogos_MataMata'!$K$2:$K$33,""))</x:f>
      </x:c>
      <x:c r="G14" s="22" t="str"/>
      <x:c r="H14" s="22" t="str"/>
      <x:c r="I14" s="22" t="str">
        <x:f>IF(AND(G14&lt;&gt;"",H14&lt;&gt;""),"SIM","NAO")</x:f>
        <x:v>NAO</x:v>
      </x:c>
      <x:c r="J14" s="23" t="str">
        <x:f>IF(OR(C14="",G14="",H14=""),"",LET(hs,XLOOKUP(C14,'Jogos_MataMata'!$A$2:$A$33,'Jogos_MataMata'!$O$2:$O$33,""),as,XLOOKUP(C14,'Jogos_MataMata'!$A$2:$A$33,'Jogos_MataMata'!$P$2:$P$33,""),win,XLOOKUP(C14,'Jogos_MataMata'!$A$2:$A$33,'Jogos_MataMata'!$Q$2:$Q$33,""),predWin,IF(G14&gt;H14,E14,IF(H14&gt;G14,F14,"")),IF(OR(hs="",as="",win=""),"",IF(predWin=win,IF(ABS(G14-H14)=ABS(hs-as),8,3),0))))</x:f>
      </x:c>
    </x:row>
    <x:row r="15">
      <x:c r="A15" s="21" t="str"/>
      <x:c r="B15" s="22" t="str"/>
      <x:c r="C15" s="22" t="str"/>
      <x:c r="D15" s="22" t="str">
        <x:f>IF(C15="","",XLOOKUP(C15,'Jogos_MataMata'!$A$2:$A$33,'Jogos_MataMata'!$B$2:$B$33,""))</x:f>
      </x:c>
      <x:c r="E15" s="22" t="str">
        <x:f>IF(C15="","",XLOOKUP(C15,'Jogos_MataMata'!$A$2:$A$33,'Jogos_MataMata'!$J$2:$J$33,""))</x:f>
      </x:c>
      <x:c r="F15" s="22" t="str">
        <x:f>IF(C15="","",XLOOKUP(C15,'Jogos_MataMata'!$A$2:$A$33,'Jogos_MataMata'!$K$2:$K$33,""))</x:f>
      </x:c>
      <x:c r="G15" s="22" t="str"/>
      <x:c r="H15" s="22" t="str"/>
      <x:c r="I15" s="22" t="str">
        <x:f>IF(AND(G15&lt;&gt;"",H15&lt;&gt;""),"SIM","NAO")</x:f>
        <x:v>NAO</x:v>
      </x:c>
      <x:c r="J15" s="23" t="str">
        <x:f>IF(OR(C15="",G15="",H15=""),"",LET(hs,XLOOKUP(C15,'Jogos_MataMata'!$A$2:$A$33,'Jogos_MataMata'!$O$2:$O$33,""),as,XLOOKUP(C15,'Jogos_MataMata'!$A$2:$A$33,'Jogos_MataMata'!$P$2:$P$33,""),win,XLOOKUP(C15,'Jogos_MataMata'!$A$2:$A$33,'Jogos_MataMata'!$Q$2:$Q$33,""),predWin,IF(G15&gt;H15,E15,IF(H15&gt;G15,F15,"")),IF(OR(hs="",as="",win=""),"",IF(predWin=win,IF(ABS(G15-H15)=ABS(hs-as),8,3),0))))</x:f>
      </x:c>
    </x:row>
    <x:row r="16">
      <x:c r="A16" s="21" t="str"/>
      <x:c r="B16" s="22" t="str"/>
      <x:c r="C16" s="22" t="str"/>
      <x:c r="D16" s="22" t="str">
        <x:f>IF(C16="","",XLOOKUP(C16,'Jogos_MataMata'!$A$2:$A$33,'Jogos_MataMata'!$B$2:$B$33,""))</x:f>
      </x:c>
      <x:c r="E16" s="22" t="str">
        <x:f>IF(C16="","",XLOOKUP(C16,'Jogos_MataMata'!$A$2:$A$33,'Jogos_MataMata'!$J$2:$J$33,""))</x:f>
      </x:c>
      <x:c r="F16" s="22" t="str">
        <x:f>IF(C16="","",XLOOKUP(C16,'Jogos_MataMata'!$A$2:$A$33,'Jogos_MataMata'!$K$2:$K$33,""))</x:f>
      </x:c>
      <x:c r="G16" s="22" t="str"/>
      <x:c r="H16" s="22" t="str"/>
      <x:c r="I16" s="22" t="str">
        <x:f>IF(AND(G16&lt;&gt;"",H16&lt;&gt;""),"SIM","NAO")</x:f>
        <x:v>NAO</x:v>
      </x:c>
      <x:c r="J16" s="23" t="str">
        <x:f>IF(OR(C16="",G16="",H16=""),"",LET(hs,XLOOKUP(C16,'Jogos_MataMata'!$A$2:$A$33,'Jogos_MataMata'!$O$2:$O$33,""),as,XLOOKUP(C16,'Jogos_MataMata'!$A$2:$A$33,'Jogos_MataMata'!$P$2:$P$33,""),win,XLOOKUP(C16,'Jogos_MataMata'!$A$2:$A$33,'Jogos_MataMata'!$Q$2:$Q$33,""),predWin,IF(G16&gt;H16,E16,IF(H16&gt;G16,F16,"")),IF(OR(hs="",as="",win=""),"",IF(predWin=win,IF(ABS(G16-H16)=ABS(hs-as),8,3),0))))</x:f>
      </x:c>
    </x:row>
    <x:row r="17">
      <x:c r="A17" s="21" t="str"/>
      <x:c r="B17" s="22" t="str"/>
      <x:c r="C17" s="22" t="str"/>
      <x:c r="D17" s="22" t="str">
        <x:f>IF(C17="","",XLOOKUP(C17,'Jogos_MataMata'!$A$2:$A$33,'Jogos_MataMata'!$B$2:$B$33,""))</x:f>
      </x:c>
      <x:c r="E17" s="22" t="str">
        <x:f>IF(C17="","",XLOOKUP(C17,'Jogos_MataMata'!$A$2:$A$33,'Jogos_MataMata'!$J$2:$J$33,""))</x:f>
      </x:c>
      <x:c r="F17" s="22" t="str">
        <x:f>IF(C17="","",XLOOKUP(C17,'Jogos_MataMata'!$A$2:$A$33,'Jogos_MataMata'!$K$2:$K$33,""))</x:f>
      </x:c>
      <x:c r="G17" s="22" t="str"/>
      <x:c r="H17" s="22" t="str"/>
      <x:c r="I17" s="22" t="str">
        <x:f>IF(AND(G17&lt;&gt;"",H17&lt;&gt;""),"SIM","NAO")</x:f>
        <x:v>NAO</x:v>
      </x:c>
      <x:c r="J17" s="23" t="str">
        <x:f>IF(OR(C17="",G17="",H17=""),"",LET(hs,XLOOKUP(C17,'Jogos_MataMata'!$A$2:$A$33,'Jogos_MataMata'!$O$2:$O$33,""),as,XLOOKUP(C17,'Jogos_MataMata'!$A$2:$A$33,'Jogos_MataMata'!$P$2:$P$33,""),win,XLOOKUP(C17,'Jogos_MataMata'!$A$2:$A$33,'Jogos_MataMata'!$Q$2:$Q$33,""),predWin,IF(G17&gt;H17,E17,IF(H17&gt;G17,F17,"")),IF(OR(hs="",as="",win=""),"",IF(predWin=win,IF(ABS(G17-H17)=ABS(hs-as),8,3),0))))</x:f>
      </x:c>
    </x:row>
    <x:row r="18">
      <x:c r="A18" s="21" t="str"/>
      <x:c r="B18" s="22" t="str"/>
      <x:c r="C18" s="22" t="str"/>
      <x:c r="D18" s="22" t="str">
        <x:f>IF(C18="","",XLOOKUP(C18,'Jogos_MataMata'!$A$2:$A$33,'Jogos_MataMata'!$B$2:$B$33,""))</x:f>
      </x:c>
      <x:c r="E18" s="22" t="str">
        <x:f>IF(C18="","",XLOOKUP(C18,'Jogos_MataMata'!$A$2:$A$33,'Jogos_MataMata'!$J$2:$J$33,""))</x:f>
      </x:c>
      <x:c r="F18" s="22" t="str">
        <x:f>IF(C18="","",XLOOKUP(C18,'Jogos_MataMata'!$A$2:$A$33,'Jogos_MataMata'!$K$2:$K$33,""))</x:f>
      </x:c>
      <x:c r="G18" s="22" t="str"/>
      <x:c r="H18" s="22" t="str"/>
      <x:c r="I18" s="22" t="str">
        <x:f>IF(AND(G18&lt;&gt;"",H18&lt;&gt;""),"SIM","NAO")</x:f>
        <x:v>NAO</x:v>
      </x:c>
      <x:c r="J18" s="23" t="str">
        <x:f>IF(OR(C18="",G18="",H18=""),"",LET(hs,XLOOKUP(C18,'Jogos_MataMata'!$A$2:$A$33,'Jogos_MataMata'!$O$2:$O$33,""),as,XLOOKUP(C18,'Jogos_MataMata'!$A$2:$A$33,'Jogos_MataMata'!$P$2:$P$33,""),win,XLOOKUP(C18,'Jogos_MataMata'!$A$2:$A$33,'Jogos_MataMata'!$Q$2:$Q$33,""),predWin,IF(G18&gt;H18,E18,IF(H18&gt;G18,F18,"")),IF(OR(hs="",as="",win=""),"",IF(predWin=win,IF(ABS(G18-H18)=ABS(hs-as),8,3),0))))</x:f>
      </x:c>
    </x:row>
    <x:row r="19">
      <x:c r="A19" s="21" t="str"/>
      <x:c r="B19" s="22" t="str"/>
      <x:c r="C19" s="22" t="str"/>
      <x:c r="D19" s="22" t="str">
        <x:f>IF(C19="","",XLOOKUP(C19,'Jogos_MataMata'!$A$2:$A$33,'Jogos_MataMata'!$B$2:$B$33,""))</x:f>
      </x:c>
      <x:c r="E19" s="22" t="str">
        <x:f>IF(C19="","",XLOOKUP(C19,'Jogos_MataMata'!$A$2:$A$33,'Jogos_MataMata'!$J$2:$J$33,""))</x:f>
      </x:c>
      <x:c r="F19" s="22" t="str">
        <x:f>IF(C19="","",XLOOKUP(C19,'Jogos_MataMata'!$A$2:$A$33,'Jogos_MataMata'!$K$2:$K$33,""))</x:f>
      </x:c>
      <x:c r="G19" s="22" t="str"/>
      <x:c r="H19" s="22" t="str"/>
      <x:c r="I19" s="22" t="str">
        <x:f>IF(AND(G19&lt;&gt;"",H19&lt;&gt;""),"SIM","NAO")</x:f>
        <x:v>NAO</x:v>
      </x:c>
      <x:c r="J19" s="23" t="str">
        <x:f>IF(OR(C19="",G19="",H19=""),"",LET(hs,XLOOKUP(C19,'Jogos_MataMata'!$A$2:$A$33,'Jogos_MataMata'!$O$2:$O$33,""),as,XLOOKUP(C19,'Jogos_MataMata'!$A$2:$A$33,'Jogos_MataMata'!$P$2:$P$33,""),win,XLOOKUP(C19,'Jogos_MataMata'!$A$2:$A$33,'Jogos_MataMata'!$Q$2:$Q$33,""),predWin,IF(G19&gt;H19,E19,IF(H19&gt;G19,F19,"")),IF(OR(hs="",as="",win=""),"",IF(predWin=win,IF(ABS(G19-H19)=ABS(hs-as),8,3),0))))</x:f>
      </x:c>
    </x:row>
    <x:row r="20">
      <x:c r="A20" s="21" t="str"/>
      <x:c r="B20" s="22" t="str"/>
      <x:c r="C20" s="22" t="str"/>
      <x:c r="D20" s="22" t="str">
        <x:f>IF(C20="","",XLOOKUP(C20,'Jogos_MataMata'!$A$2:$A$33,'Jogos_MataMata'!$B$2:$B$33,""))</x:f>
      </x:c>
      <x:c r="E20" s="22" t="str">
        <x:f>IF(C20="","",XLOOKUP(C20,'Jogos_MataMata'!$A$2:$A$33,'Jogos_MataMata'!$J$2:$J$33,""))</x:f>
      </x:c>
      <x:c r="F20" s="22" t="str">
        <x:f>IF(C20="","",XLOOKUP(C20,'Jogos_MataMata'!$A$2:$A$33,'Jogos_MataMata'!$K$2:$K$33,""))</x:f>
      </x:c>
      <x:c r="G20" s="22" t="str"/>
      <x:c r="H20" s="22" t="str"/>
      <x:c r="I20" s="22" t="str">
        <x:f>IF(AND(G20&lt;&gt;"",H20&lt;&gt;""),"SIM","NAO")</x:f>
        <x:v>NAO</x:v>
      </x:c>
      <x:c r="J20" s="23" t="str">
        <x:f>IF(OR(C20="",G20="",H20=""),"",LET(hs,XLOOKUP(C20,'Jogos_MataMata'!$A$2:$A$33,'Jogos_MataMata'!$O$2:$O$33,""),as,XLOOKUP(C20,'Jogos_MataMata'!$A$2:$A$33,'Jogos_MataMata'!$P$2:$P$33,""),win,XLOOKUP(C20,'Jogos_MataMata'!$A$2:$A$33,'Jogos_MataMata'!$Q$2:$Q$33,""),predWin,IF(G20&gt;H20,E20,IF(H20&gt;G20,F20,"")),IF(OR(hs="",as="",win=""),"",IF(predWin=win,IF(ABS(G20-H20)=ABS(hs-as),8,3),0))))</x:f>
      </x:c>
    </x:row>
    <x:row r="21">
      <x:c r="A21" s="21" t="str"/>
      <x:c r="B21" s="22" t="str"/>
      <x:c r="C21" s="22" t="str"/>
      <x:c r="D21" s="22" t="str">
        <x:f>IF(C21="","",XLOOKUP(C21,'Jogos_MataMata'!$A$2:$A$33,'Jogos_MataMata'!$B$2:$B$33,""))</x:f>
      </x:c>
      <x:c r="E21" s="22" t="str">
        <x:f>IF(C21="","",XLOOKUP(C21,'Jogos_MataMata'!$A$2:$A$33,'Jogos_MataMata'!$J$2:$J$33,""))</x:f>
      </x:c>
      <x:c r="F21" s="22" t="str">
        <x:f>IF(C21="","",XLOOKUP(C21,'Jogos_MataMata'!$A$2:$A$33,'Jogos_MataMata'!$K$2:$K$33,""))</x:f>
      </x:c>
      <x:c r="G21" s="22" t="str"/>
      <x:c r="H21" s="22" t="str"/>
      <x:c r="I21" s="22" t="str">
        <x:f>IF(AND(G21&lt;&gt;"",H21&lt;&gt;""),"SIM","NAO")</x:f>
        <x:v>NAO</x:v>
      </x:c>
      <x:c r="J21" s="23" t="str">
        <x:f>IF(OR(C21="",G21="",H21=""),"",LET(hs,XLOOKUP(C21,'Jogos_MataMata'!$A$2:$A$33,'Jogos_MataMata'!$O$2:$O$33,""),as,XLOOKUP(C21,'Jogos_MataMata'!$A$2:$A$33,'Jogos_MataMata'!$P$2:$P$33,""),win,XLOOKUP(C21,'Jogos_MataMata'!$A$2:$A$33,'Jogos_MataMata'!$Q$2:$Q$33,""),predWin,IF(G21&gt;H21,E21,IF(H21&gt;G21,F21,"")),IF(OR(hs="",as="",win=""),"",IF(predWin=win,IF(ABS(G21-H21)=ABS(hs-as),8,3),0))))</x:f>
      </x:c>
    </x:row>
    <x:row r="22">
      <x:c r="A22" s="21" t="str"/>
      <x:c r="B22" s="22" t="str"/>
      <x:c r="C22" s="22" t="str"/>
      <x:c r="D22" s="22" t="str">
        <x:f>IF(C22="","",XLOOKUP(C22,'Jogos_MataMata'!$A$2:$A$33,'Jogos_MataMata'!$B$2:$B$33,""))</x:f>
      </x:c>
      <x:c r="E22" s="22" t="str">
        <x:f>IF(C22="","",XLOOKUP(C22,'Jogos_MataMata'!$A$2:$A$33,'Jogos_MataMata'!$J$2:$J$33,""))</x:f>
      </x:c>
      <x:c r="F22" s="22" t="str">
        <x:f>IF(C22="","",XLOOKUP(C22,'Jogos_MataMata'!$A$2:$A$33,'Jogos_MataMata'!$K$2:$K$33,""))</x:f>
      </x:c>
      <x:c r="G22" s="22" t="str"/>
      <x:c r="H22" s="22" t="str"/>
      <x:c r="I22" s="22" t="str">
        <x:f>IF(AND(G22&lt;&gt;"",H22&lt;&gt;""),"SIM","NAO")</x:f>
        <x:v>NAO</x:v>
      </x:c>
      <x:c r="J22" s="23" t="str">
        <x:f>IF(OR(C22="",G22="",H22=""),"",LET(hs,XLOOKUP(C22,'Jogos_MataMata'!$A$2:$A$33,'Jogos_MataMata'!$O$2:$O$33,""),as,XLOOKUP(C22,'Jogos_MataMata'!$A$2:$A$33,'Jogos_MataMata'!$P$2:$P$33,""),win,XLOOKUP(C22,'Jogos_MataMata'!$A$2:$A$33,'Jogos_MataMata'!$Q$2:$Q$33,""),predWin,IF(G22&gt;H22,E22,IF(H22&gt;G22,F22,"")),IF(OR(hs="",as="",win=""),"",IF(predWin=win,IF(ABS(G22-H22)=ABS(hs-as),8,3),0))))</x:f>
      </x:c>
    </x:row>
    <x:row r="23">
      <x:c r="A23" s="21" t="str"/>
      <x:c r="B23" s="22" t="str"/>
      <x:c r="C23" s="22" t="str"/>
      <x:c r="D23" s="22" t="str">
        <x:f>IF(C23="","",XLOOKUP(C23,'Jogos_MataMata'!$A$2:$A$33,'Jogos_MataMata'!$B$2:$B$33,""))</x:f>
      </x:c>
      <x:c r="E23" s="22" t="str">
        <x:f>IF(C23="","",XLOOKUP(C23,'Jogos_MataMata'!$A$2:$A$33,'Jogos_MataMata'!$J$2:$J$33,""))</x:f>
      </x:c>
      <x:c r="F23" s="22" t="str">
        <x:f>IF(C23="","",XLOOKUP(C23,'Jogos_MataMata'!$A$2:$A$33,'Jogos_MataMata'!$K$2:$K$33,""))</x:f>
      </x:c>
      <x:c r="G23" s="22" t="str"/>
      <x:c r="H23" s="22" t="str"/>
      <x:c r="I23" s="22" t="str">
        <x:f>IF(AND(G23&lt;&gt;"",H23&lt;&gt;""),"SIM","NAO")</x:f>
        <x:v>NAO</x:v>
      </x:c>
      <x:c r="J23" s="23" t="str">
        <x:f>IF(OR(C23="",G23="",H23=""),"",LET(hs,XLOOKUP(C23,'Jogos_MataMata'!$A$2:$A$33,'Jogos_MataMata'!$O$2:$O$33,""),as,XLOOKUP(C23,'Jogos_MataMata'!$A$2:$A$33,'Jogos_MataMata'!$P$2:$P$33,""),win,XLOOKUP(C23,'Jogos_MataMata'!$A$2:$A$33,'Jogos_MataMata'!$Q$2:$Q$33,""),predWin,IF(G23&gt;H23,E23,IF(H23&gt;G23,F23,"")),IF(OR(hs="",as="",win=""),"",IF(predWin=win,IF(ABS(G23-H23)=ABS(hs-as),8,3),0))))</x:f>
      </x:c>
    </x:row>
    <x:row r="24">
      <x:c r="A24" s="21" t="str"/>
      <x:c r="B24" s="22" t="str"/>
      <x:c r="C24" s="22" t="str"/>
      <x:c r="D24" s="22" t="str">
        <x:f>IF(C24="","",XLOOKUP(C24,'Jogos_MataMata'!$A$2:$A$33,'Jogos_MataMata'!$B$2:$B$33,""))</x:f>
      </x:c>
      <x:c r="E24" s="22" t="str">
        <x:f>IF(C24="","",XLOOKUP(C24,'Jogos_MataMata'!$A$2:$A$33,'Jogos_MataMata'!$J$2:$J$33,""))</x:f>
      </x:c>
      <x:c r="F24" s="22" t="str">
        <x:f>IF(C24="","",XLOOKUP(C24,'Jogos_MataMata'!$A$2:$A$33,'Jogos_MataMata'!$K$2:$K$33,""))</x:f>
      </x:c>
      <x:c r="G24" s="22" t="str"/>
      <x:c r="H24" s="22" t="str"/>
      <x:c r="I24" s="22" t="str">
        <x:f>IF(AND(G24&lt;&gt;"",H24&lt;&gt;""),"SIM","NAO")</x:f>
        <x:v>NAO</x:v>
      </x:c>
      <x:c r="J24" s="23" t="str">
        <x:f>IF(OR(C24="",G24="",H24=""),"",LET(hs,XLOOKUP(C24,'Jogos_MataMata'!$A$2:$A$33,'Jogos_MataMata'!$O$2:$O$33,""),as,XLOOKUP(C24,'Jogos_MataMata'!$A$2:$A$33,'Jogos_MataMata'!$P$2:$P$33,""),win,XLOOKUP(C24,'Jogos_MataMata'!$A$2:$A$33,'Jogos_MataMata'!$Q$2:$Q$33,""),predWin,IF(G24&gt;H24,E24,IF(H24&gt;G24,F24,"")),IF(OR(hs="",as="",win=""),"",IF(predWin=win,IF(ABS(G24-H24)=ABS(hs-as),8,3),0))))</x:f>
      </x:c>
    </x:row>
    <x:row r="25">
      <x:c r="A25" s="21" t="str"/>
      <x:c r="B25" s="22" t="str"/>
      <x:c r="C25" s="22" t="str"/>
      <x:c r="D25" s="22" t="str">
        <x:f>IF(C25="","",XLOOKUP(C25,'Jogos_MataMata'!$A$2:$A$33,'Jogos_MataMata'!$B$2:$B$33,""))</x:f>
      </x:c>
      <x:c r="E25" s="22" t="str">
        <x:f>IF(C25="","",XLOOKUP(C25,'Jogos_MataMata'!$A$2:$A$33,'Jogos_MataMata'!$J$2:$J$33,""))</x:f>
      </x:c>
      <x:c r="F25" s="22" t="str">
        <x:f>IF(C25="","",XLOOKUP(C25,'Jogos_MataMata'!$A$2:$A$33,'Jogos_MataMata'!$K$2:$K$33,""))</x:f>
      </x:c>
      <x:c r="G25" s="22" t="str"/>
      <x:c r="H25" s="22" t="str"/>
      <x:c r="I25" s="22" t="str">
        <x:f>IF(AND(G25&lt;&gt;"",H25&lt;&gt;""),"SIM","NAO")</x:f>
        <x:v>NAO</x:v>
      </x:c>
      <x:c r="J25" s="23" t="str">
        <x:f>IF(OR(C25="",G25="",H25=""),"",LET(hs,XLOOKUP(C25,'Jogos_MataMata'!$A$2:$A$33,'Jogos_MataMata'!$O$2:$O$33,""),as,XLOOKUP(C25,'Jogos_MataMata'!$A$2:$A$33,'Jogos_MataMata'!$P$2:$P$33,""),win,XLOOKUP(C25,'Jogos_MataMata'!$A$2:$A$33,'Jogos_MataMata'!$Q$2:$Q$33,""),predWin,IF(G25&gt;H25,E25,IF(H25&gt;G25,F25,"")),IF(OR(hs="",as="",win=""),"",IF(predWin=win,IF(ABS(G25-H25)=ABS(hs-as),8,3),0))))</x:f>
      </x:c>
    </x:row>
    <x:row r="26">
      <x:c r="A26" s="21" t="str"/>
      <x:c r="B26" s="22" t="str"/>
      <x:c r="C26" s="22" t="str"/>
      <x:c r="D26" s="22" t="str">
        <x:f>IF(C26="","",XLOOKUP(C26,'Jogos_MataMata'!$A$2:$A$33,'Jogos_MataMata'!$B$2:$B$33,""))</x:f>
      </x:c>
      <x:c r="E26" s="22" t="str">
        <x:f>IF(C26="","",XLOOKUP(C26,'Jogos_MataMata'!$A$2:$A$33,'Jogos_MataMata'!$J$2:$J$33,""))</x:f>
      </x:c>
      <x:c r="F26" s="22" t="str">
        <x:f>IF(C26="","",XLOOKUP(C26,'Jogos_MataMata'!$A$2:$A$33,'Jogos_MataMata'!$K$2:$K$33,""))</x:f>
      </x:c>
      <x:c r="G26" s="22" t="str"/>
      <x:c r="H26" s="22" t="str"/>
      <x:c r="I26" s="22" t="str">
        <x:f>IF(AND(G26&lt;&gt;"",H26&lt;&gt;""),"SIM","NAO")</x:f>
        <x:v>NAO</x:v>
      </x:c>
      <x:c r="J26" s="23" t="str">
        <x:f>IF(OR(C26="",G26="",H26=""),"",LET(hs,XLOOKUP(C26,'Jogos_MataMata'!$A$2:$A$33,'Jogos_MataMata'!$O$2:$O$33,""),as,XLOOKUP(C26,'Jogos_MataMata'!$A$2:$A$33,'Jogos_MataMata'!$P$2:$P$33,""),win,XLOOKUP(C26,'Jogos_MataMata'!$A$2:$A$33,'Jogos_MataMata'!$Q$2:$Q$33,""),predWin,IF(G26&gt;H26,E26,IF(H26&gt;G26,F26,"")),IF(OR(hs="",as="",win=""),"",IF(predWin=win,IF(ABS(G26-H26)=ABS(hs-as),8,3),0))))</x:f>
      </x:c>
    </x:row>
    <x:row r="27">
      <x:c r="A27" s="21" t="str"/>
      <x:c r="B27" s="22" t="str"/>
      <x:c r="C27" s="22" t="str"/>
      <x:c r="D27" s="22" t="str">
        <x:f>IF(C27="","",XLOOKUP(C27,'Jogos_MataMata'!$A$2:$A$33,'Jogos_MataMata'!$B$2:$B$33,""))</x:f>
      </x:c>
      <x:c r="E27" s="22" t="str">
        <x:f>IF(C27="","",XLOOKUP(C27,'Jogos_MataMata'!$A$2:$A$33,'Jogos_MataMata'!$J$2:$J$33,""))</x:f>
      </x:c>
      <x:c r="F27" s="22" t="str">
        <x:f>IF(C27="","",XLOOKUP(C27,'Jogos_MataMata'!$A$2:$A$33,'Jogos_MataMata'!$K$2:$K$33,""))</x:f>
      </x:c>
      <x:c r="G27" s="22" t="str"/>
      <x:c r="H27" s="22" t="str"/>
      <x:c r="I27" s="22" t="str">
        <x:f>IF(AND(G27&lt;&gt;"",H27&lt;&gt;""),"SIM","NAO")</x:f>
        <x:v>NAO</x:v>
      </x:c>
      <x:c r="J27" s="23" t="str">
        <x:f>IF(OR(C27="",G27="",H27=""),"",LET(hs,XLOOKUP(C27,'Jogos_MataMata'!$A$2:$A$33,'Jogos_MataMata'!$O$2:$O$33,""),as,XLOOKUP(C27,'Jogos_MataMata'!$A$2:$A$33,'Jogos_MataMata'!$P$2:$P$33,""),win,XLOOKUP(C27,'Jogos_MataMata'!$A$2:$A$33,'Jogos_MataMata'!$Q$2:$Q$33,""),predWin,IF(G27&gt;H27,E27,IF(H27&gt;G27,F27,"")),IF(OR(hs="",as="",win=""),"",IF(predWin=win,IF(ABS(G27-H27)=ABS(hs-as),8,3),0))))</x:f>
      </x:c>
    </x:row>
    <x:row r="28">
      <x:c r="A28" s="21" t="str"/>
      <x:c r="B28" s="22" t="str"/>
      <x:c r="C28" s="22" t="str"/>
      <x:c r="D28" s="22" t="str">
        <x:f>IF(C28="","",XLOOKUP(C28,'Jogos_MataMata'!$A$2:$A$33,'Jogos_MataMata'!$B$2:$B$33,""))</x:f>
      </x:c>
      <x:c r="E28" s="22" t="str">
        <x:f>IF(C28="","",XLOOKUP(C28,'Jogos_MataMata'!$A$2:$A$33,'Jogos_MataMata'!$J$2:$J$33,""))</x:f>
      </x:c>
      <x:c r="F28" s="22" t="str">
        <x:f>IF(C28="","",XLOOKUP(C28,'Jogos_MataMata'!$A$2:$A$33,'Jogos_MataMata'!$K$2:$K$33,""))</x:f>
      </x:c>
      <x:c r="G28" s="22" t="str"/>
      <x:c r="H28" s="22" t="str"/>
      <x:c r="I28" s="22" t="str">
        <x:f>IF(AND(G28&lt;&gt;"",H28&lt;&gt;""),"SIM","NAO")</x:f>
        <x:v>NAO</x:v>
      </x:c>
      <x:c r="J28" s="23" t="str">
        <x:f>IF(OR(C28="",G28="",H28=""),"",LET(hs,XLOOKUP(C28,'Jogos_MataMata'!$A$2:$A$33,'Jogos_MataMata'!$O$2:$O$33,""),as,XLOOKUP(C28,'Jogos_MataMata'!$A$2:$A$33,'Jogos_MataMata'!$P$2:$P$33,""),win,XLOOKUP(C28,'Jogos_MataMata'!$A$2:$A$33,'Jogos_MataMata'!$Q$2:$Q$33,""),predWin,IF(G28&gt;H28,E28,IF(H28&gt;G28,F28,"")),IF(OR(hs="",as="",win=""),"",IF(predWin=win,IF(ABS(G28-H28)=ABS(hs-as),8,3),0))))</x:f>
      </x:c>
    </x:row>
    <x:row r="29">
      <x:c r="A29" s="21" t="str"/>
      <x:c r="B29" s="22" t="str"/>
      <x:c r="C29" s="22" t="str"/>
      <x:c r="D29" s="22" t="str">
        <x:f>IF(C29="","",XLOOKUP(C29,'Jogos_MataMata'!$A$2:$A$33,'Jogos_MataMata'!$B$2:$B$33,""))</x:f>
      </x:c>
      <x:c r="E29" s="22" t="str">
        <x:f>IF(C29="","",XLOOKUP(C29,'Jogos_MataMata'!$A$2:$A$33,'Jogos_MataMata'!$J$2:$J$33,""))</x:f>
      </x:c>
      <x:c r="F29" s="22" t="str">
        <x:f>IF(C29="","",XLOOKUP(C29,'Jogos_MataMata'!$A$2:$A$33,'Jogos_MataMata'!$K$2:$K$33,""))</x:f>
      </x:c>
      <x:c r="G29" s="22" t="str"/>
      <x:c r="H29" s="22" t="str"/>
      <x:c r="I29" s="22" t="str">
        <x:f>IF(AND(G29&lt;&gt;"",H29&lt;&gt;""),"SIM","NAO")</x:f>
        <x:v>NAO</x:v>
      </x:c>
      <x:c r="J29" s="23" t="str">
        <x:f>IF(OR(C29="",G29="",H29=""),"",LET(hs,XLOOKUP(C29,'Jogos_MataMata'!$A$2:$A$33,'Jogos_MataMata'!$O$2:$O$33,""),as,XLOOKUP(C29,'Jogos_MataMata'!$A$2:$A$33,'Jogos_MataMata'!$P$2:$P$33,""),win,XLOOKUP(C29,'Jogos_MataMata'!$A$2:$A$33,'Jogos_MataMata'!$Q$2:$Q$33,""),predWin,IF(G29&gt;H29,E29,IF(H29&gt;G29,F29,"")),IF(OR(hs="",as="",win=""),"",IF(predWin=win,IF(ABS(G29-H29)=ABS(hs-as),8,3),0))))</x:f>
      </x:c>
    </x:row>
    <x:row r="30">
      <x:c r="A30" s="21" t="str"/>
      <x:c r="B30" s="22" t="str"/>
      <x:c r="C30" s="22" t="str"/>
      <x:c r="D30" s="22" t="str">
        <x:f>IF(C30="","",XLOOKUP(C30,'Jogos_MataMata'!$A$2:$A$33,'Jogos_MataMata'!$B$2:$B$33,""))</x:f>
      </x:c>
      <x:c r="E30" s="22" t="str">
        <x:f>IF(C30="","",XLOOKUP(C30,'Jogos_MataMata'!$A$2:$A$33,'Jogos_MataMata'!$J$2:$J$33,""))</x:f>
      </x:c>
      <x:c r="F30" s="22" t="str">
        <x:f>IF(C30="","",XLOOKUP(C30,'Jogos_MataMata'!$A$2:$A$33,'Jogos_MataMata'!$K$2:$K$33,""))</x:f>
      </x:c>
      <x:c r="G30" s="22" t="str"/>
      <x:c r="H30" s="22" t="str"/>
      <x:c r="I30" s="22" t="str">
        <x:f>IF(AND(G30&lt;&gt;"",H30&lt;&gt;""),"SIM","NAO")</x:f>
        <x:v>NAO</x:v>
      </x:c>
      <x:c r="J30" s="23" t="str">
        <x:f>IF(OR(C30="",G30="",H30=""),"",LET(hs,XLOOKUP(C30,'Jogos_MataMata'!$A$2:$A$33,'Jogos_MataMata'!$O$2:$O$33,""),as,XLOOKUP(C30,'Jogos_MataMata'!$A$2:$A$33,'Jogos_MataMata'!$P$2:$P$33,""),win,XLOOKUP(C30,'Jogos_MataMata'!$A$2:$A$33,'Jogos_MataMata'!$Q$2:$Q$33,""),predWin,IF(G30&gt;H30,E30,IF(H30&gt;G30,F30,"")),IF(OR(hs="",as="",win=""),"",IF(predWin=win,IF(ABS(G30-H30)=ABS(hs-as),8,3),0))))</x:f>
      </x:c>
    </x:row>
    <x:row r="31">
      <x:c r="A31" s="21" t="str"/>
      <x:c r="B31" s="22" t="str"/>
      <x:c r="C31" s="22" t="str"/>
      <x:c r="D31" s="22" t="str">
        <x:f>IF(C31="","",XLOOKUP(C31,'Jogos_MataMata'!$A$2:$A$33,'Jogos_MataMata'!$B$2:$B$33,""))</x:f>
      </x:c>
      <x:c r="E31" s="22" t="str">
        <x:f>IF(C31="","",XLOOKUP(C31,'Jogos_MataMata'!$A$2:$A$33,'Jogos_MataMata'!$J$2:$J$33,""))</x:f>
      </x:c>
      <x:c r="F31" s="22" t="str">
        <x:f>IF(C31="","",XLOOKUP(C31,'Jogos_MataMata'!$A$2:$A$33,'Jogos_MataMata'!$K$2:$K$33,""))</x:f>
      </x:c>
      <x:c r="G31" s="22" t="str"/>
      <x:c r="H31" s="22" t="str"/>
      <x:c r="I31" s="22" t="str">
        <x:f>IF(AND(G31&lt;&gt;"",H31&lt;&gt;""),"SIM","NAO")</x:f>
        <x:v>NAO</x:v>
      </x:c>
      <x:c r="J31" s="23" t="str">
        <x:f>IF(OR(C31="",G31="",H31=""),"",LET(hs,XLOOKUP(C31,'Jogos_MataMata'!$A$2:$A$33,'Jogos_MataMata'!$O$2:$O$33,""),as,XLOOKUP(C31,'Jogos_MataMata'!$A$2:$A$33,'Jogos_MataMata'!$P$2:$P$33,""),win,XLOOKUP(C31,'Jogos_MataMata'!$A$2:$A$33,'Jogos_MataMata'!$Q$2:$Q$33,""),predWin,IF(G31&gt;H31,E31,IF(H31&gt;G31,F31,"")),IF(OR(hs="",as="",win=""),"",IF(predWin=win,IF(ABS(G31-H31)=ABS(hs-as),8,3),0))))</x:f>
      </x:c>
    </x:row>
    <x:row r="32">
      <x:c r="A32" s="21" t="str"/>
      <x:c r="B32" s="22" t="str"/>
      <x:c r="C32" s="22" t="str"/>
      <x:c r="D32" s="22" t="str">
        <x:f>IF(C32="","",XLOOKUP(C32,'Jogos_MataMata'!$A$2:$A$33,'Jogos_MataMata'!$B$2:$B$33,""))</x:f>
      </x:c>
      <x:c r="E32" s="22" t="str">
        <x:f>IF(C32="","",XLOOKUP(C32,'Jogos_MataMata'!$A$2:$A$33,'Jogos_MataMata'!$J$2:$J$33,""))</x:f>
      </x:c>
      <x:c r="F32" s="22" t="str">
        <x:f>IF(C32="","",XLOOKUP(C32,'Jogos_MataMata'!$A$2:$A$33,'Jogos_MataMata'!$K$2:$K$33,""))</x:f>
      </x:c>
      <x:c r="G32" s="22" t="str"/>
      <x:c r="H32" s="22" t="str"/>
      <x:c r="I32" s="22" t="str">
        <x:f>IF(AND(G32&lt;&gt;"",H32&lt;&gt;""),"SIM","NAO")</x:f>
        <x:v>NAO</x:v>
      </x:c>
      <x:c r="J32" s="23" t="str">
        <x:f>IF(OR(C32="",G32="",H32=""),"",LET(hs,XLOOKUP(C32,'Jogos_MataMata'!$A$2:$A$33,'Jogos_MataMata'!$O$2:$O$33,""),as,XLOOKUP(C32,'Jogos_MataMata'!$A$2:$A$33,'Jogos_MataMata'!$P$2:$P$33,""),win,XLOOKUP(C32,'Jogos_MataMata'!$A$2:$A$33,'Jogos_MataMata'!$Q$2:$Q$33,""),predWin,IF(G32&gt;H32,E32,IF(H32&gt;G32,F32,"")),IF(OR(hs="",as="",win=""),"",IF(predWin=win,IF(ABS(G32-H32)=ABS(hs-as),8,3),0))))</x:f>
      </x:c>
    </x:row>
    <x:row r="33">
      <x:c r="A33" s="21" t="str"/>
      <x:c r="B33" s="22" t="str"/>
      <x:c r="C33" s="22" t="str"/>
      <x:c r="D33" s="22" t="str">
        <x:f>IF(C33="","",XLOOKUP(C33,'Jogos_MataMata'!$A$2:$A$33,'Jogos_MataMata'!$B$2:$B$33,""))</x:f>
      </x:c>
      <x:c r="E33" s="22" t="str">
        <x:f>IF(C33="","",XLOOKUP(C33,'Jogos_MataMata'!$A$2:$A$33,'Jogos_MataMata'!$J$2:$J$33,""))</x:f>
      </x:c>
      <x:c r="F33" s="22" t="str">
        <x:f>IF(C33="","",XLOOKUP(C33,'Jogos_MataMata'!$A$2:$A$33,'Jogos_MataMata'!$K$2:$K$33,""))</x:f>
      </x:c>
      <x:c r="G33" s="22" t="str"/>
      <x:c r="H33" s="22" t="str"/>
      <x:c r="I33" s="22" t="str">
        <x:f>IF(AND(G33&lt;&gt;"",H33&lt;&gt;""),"SIM","NAO")</x:f>
        <x:v>NAO</x:v>
      </x:c>
      <x:c r="J33" s="23" t="str">
        <x:f>IF(OR(C33="",G33="",H33=""),"",LET(hs,XLOOKUP(C33,'Jogos_MataMata'!$A$2:$A$33,'Jogos_MataMata'!$O$2:$O$33,""),as,XLOOKUP(C33,'Jogos_MataMata'!$A$2:$A$33,'Jogos_MataMata'!$P$2:$P$33,""),win,XLOOKUP(C33,'Jogos_MataMata'!$A$2:$A$33,'Jogos_MataMata'!$Q$2:$Q$33,""),predWin,IF(G33&gt;H33,E33,IF(H33&gt;G33,F33,"")),IF(OR(hs="",as="",win=""),"",IF(predWin=win,IF(ABS(G33-H33)=ABS(hs-as),8,3),0))))</x:f>
      </x:c>
    </x:row>
    <x:row r="34">
      <x:c r="A34" s="21" t="str"/>
      <x:c r="B34" s="22" t="str"/>
      <x:c r="C34" s="22" t="str"/>
      <x:c r="D34" s="22" t="str">
        <x:f>IF(C34="","",XLOOKUP(C34,'Jogos_MataMata'!$A$2:$A$33,'Jogos_MataMata'!$B$2:$B$33,""))</x:f>
      </x:c>
      <x:c r="E34" s="22" t="str">
        <x:f>IF(C34="","",XLOOKUP(C34,'Jogos_MataMata'!$A$2:$A$33,'Jogos_MataMata'!$J$2:$J$33,""))</x:f>
      </x:c>
      <x:c r="F34" s="22" t="str">
        <x:f>IF(C34="","",XLOOKUP(C34,'Jogos_MataMata'!$A$2:$A$33,'Jogos_MataMata'!$K$2:$K$33,""))</x:f>
      </x:c>
      <x:c r="G34" s="22" t="str"/>
      <x:c r="H34" s="22" t="str"/>
      <x:c r="I34" s="22" t="str">
        <x:f>IF(AND(G34&lt;&gt;"",H34&lt;&gt;""),"SIM","NAO")</x:f>
        <x:v>NAO</x:v>
      </x:c>
      <x:c r="J34" s="23" t="str">
        <x:f>IF(OR(C34="",G34="",H34=""),"",LET(hs,XLOOKUP(C34,'Jogos_MataMata'!$A$2:$A$33,'Jogos_MataMata'!$O$2:$O$33,""),as,XLOOKUP(C34,'Jogos_MataMata'!$A$2:$A$33,'Jogos_MataMata'!$P$2:$P$33,""),win,XLOOKUP(C34,'Jogos_MataMata'!$A$2:$A$33,'Jogos_MataMata'!$Q$2:$Q$33,""),predWin,IF(G34&gt;H34,E34,IF(H34&gt;G34,F34,"")),IF(OR(hs="",as="",win=""),"",IF(predWin=win,IF(ABS(G34-H34)=ABS(hs-as),8,3),0))))</x:f>
      </x:c>
    </x:row>
    <x:row r="35">
      <x:c r="A35" s="21" t="str"/>
      <x:c r="B35" s="22" t="str"/>
      <x:c r="C35" s="22" t="str"/>
      <x:c r="D35" s="22" t="str">
        <x:f>IF(C35="","",XLOOKUP(C35,'Jogos_MataMata'!$A$2:$A$33,'Jogos_MataMata'!$B$2:$B$33,""))</x:f>
      </x:c>
      <x:c r="E35" s="22" t="str">
        <x:f>IF(C35="","",XLOOKUP(C35,'Jogos_MataMata'!$A$2:$A$33,'Jogos_MataMata'!$J$2:$J$33,""))</x:f>
      </x:c>
      <x:c r="F35" s="22" t="str">
        <x:f>IF(C35="","",XLOOKUP(C35,'Jogos_MataMata'!$A$2:$A$33,'Jogos_MataMata'!$K$2:$K$33,""))</x:f>
      </x:c>
      <x:c r="G35" s="22" t="str"/>
      <x:c r="H35" s="22" t="str"/>
      <x:c r="I35" s="22" t="str">
        <x:f>IF(AND(G35&lt;&gt;"",H35&lt;&gt;""),"SIM","NAO")</x:f>
        <x:v>NAO</x:v>
      </x:c>
      <x:c r="J35" s="23" t="str">
        <x:f>IF(OR(C35="",G35="",H35=""),"",LET(hs,XLOOKUP(C35,'Jogos_MataMata'!$A$2:$A$33,'Jogos_MataMata'!$O$2:$O$33,""),as,XLOOKUP(C35,'Jogos_MataMata'!$A$2:$A$33,'Jogos_MataMata'!$P$2:$P$33,""),win,XLOOKUP(C35,'Jogos_MataMata'!$A$2:$A$33,'Jogos_MataMata'!$Q$2:$Q$33,""),predWin,IF(G35&gt;H35,E35,IF(H35&gt;G35,F35,"")),IF(OR(hs="",as="",win=""),"",IF(predWin=win,IF(ABS(G35-H35)=ABS(hs-as),8,3),0))))</x:f>
      </x:c>
    </x:row>
    <x:row r="36">
      <x:c r="A36" s="21" t="str"/>
      <x:c r="B36" s="22" t="str"/>
      <x:c r="C36" s="22" t="str"/>
      <x:c r="D36" s="22" t="str">
        <x:f>IF(C36="","",XLOOKUP(C36,'Jogos_MataMata'!$A$2:$A$33,'Jogos_MataMata'!$B$2:$B$33,""))</x:f>
      </x:c>
      <x:c r="E36" s="22" t="str">
        <x:f>IF(C36="","",XLOOKUP(C36,'Jogos_MataMata'!$A$2:$A$33,'Jogos_MataMata'!$J$2:$J$33,""))</x:f>
      </x:c>
      <x:c r="F36" s="22" t="str">
        <x:f>IF(C36="","",XLOOKUP(C36,'Jogos_MataMata'!$A$2:$A$33,'Jogos_MataMata'!$K$2:$K$33,""))</x:f>
      </x:c>
      <x:c r="G36" s="22" t="str"/>
      <x:c r="H36" s="22" t="str"/>
      <x:c r="I36" s="22" t="str">
        <x:f>IF(AND(G36&lt;&gt;"",H36&lt;&gt;""),"SIM","NAO")</x:f>
        <x:v>NAO</x:v>
      </x:c>
      <x:c r="J36" s="23" t="str">
        <x:f>IF(OR(C36="",G36="",H36=""),"",LET(hs,XLOOKUP(C36,'Jogos_MataMata'!$A$2:$A$33,'Jogos_MataMata'!$O$2:$O$33,""),as,XLOOKUP(C36,'Jogos_MataMata'!$A$2:$A$33,'Jogos_MataMata'!$P$2:$P$33,""),win,XLOOKUP(C36,'Jogos_MataMata'!$A$2:$A$33,'Jogos_MataMata'!$Q$2:$Q$33,""),predWin,IF(G36&gt;H36,E36,IF(H36&gt;G36,F36,"")),IF(OR(hs="",as="",win=""),"",IF(predWin=win,IF(ABS(G36-H36)=ABS(hs-as),8,3),0))))</x:f>
      </x:c>
    </x:row>
    <x:row r="37">
      <x:c r="A37" s="21" t="str"/>
      <x:c r="B37" s="22" t="str"/>
      <x:c r="C37" s="22" t="str"/>
      <x:c r="D37" s="22" t="str">
        <x:f>IF(C37="","",XLOOKUP(C37,'Jogos_MataMata'!$A$2:$A$33,'Jogos_MataMata'!$B$2:$B$33,""))</x:f>
      </x:c>
      <x:c r="E37" s="22" t="str">
        <x:f>IF(C37="","",XLOOKUP(C37,'Jogos_MataMata'!$A$2:$A$33,'Jogos_MataMata'!$J$2:$J$33,""))</x:f>
      </x:c>
      <x:c r="F37" s="22" t="str">
        <x:f>IF(C37="","",XLOOKUP(C37,'Jogos_MataMata'!$A$2:$A$33,'Jogos_MataMata'!$K$2:$K$33,""))</x:f>
      </x:c>
      <x:c r="G37" s="22" t="str"/>
      <x:c r="H37" s="22" t="str"/>
      <x:c r="I37" s="22" t="str">
        <x:f>IF(AND(G37&lt;&gt;"",H37&lt;&gt;""),"SIM","NAO")</x:f>
        <x:v>NAO</x:v>
      </x:c>
      <x:c r="J37" s="23" t="str">
        <x:f>IF(OR(C37="",G37="",H37=""),"",LET(hs,XLOOKUP(C37,'Jogos_MataMata'!$A$2:$A$33,'Jogos_MataMata'!$O$2:$O$33,""),as,XLOOKUP(C37,'Jogos_MataMata'!$A$2:$A$33,'Jogos_MataMata'!$P$2:$P$33,""),win,XLOOKUP(C37,'Jogos_MataMata'!$A$2:$A$33,'Jogos_MataMata'!$Q$2:$Q$33,""),predWin,IF(G37&gt;H37,E37,IF(H37&gt;G37,F37,"")),IF(OR(hs="",as="",win=""),"",IF(predWin=win,IF(ABS(G37-H37)=ABS(hs-as),8,3),0))))</x:f>
      </x:c>
    </x:row>
    <x:row r="38">
      <x:c r="A38" s="21" t="str"/>
      <x:c r="B38" s="22" t="str"/>
      <x:c r="C38" s="22" t="str"/>
      <x:c r="D38" s="22" t="str">
        <x:f>IF(C38="","",XLOOKUP(C38,'Jogos_MataMata'!$A$2:$A$33,'Jogos_MataMata'!$B$2:$B$33,""))</x:f>
      </x:c>
      <x:c r="E38" s="22" t="str">
        <x:f>IF(C38="","",XLOOKUP(C38,'Jogos_MataMata'!$A$2:$A$33,'Jogos_MataMata'!$J$2:$J$33,""))</x:f>
      </x:c>
      <x:c r="F38" s="22" t="str">
        <x:f>IF(C38="","",XLOOKUP(C38,'Jogos_MataMata'!$A$2:$A$33,'Jogos_MataMata'!$K$2:$K$33,""))</x:f>
      </x:c>
      <x:c r="G38" s="22" t="str"/>
      <x:c r="H38" s="22" t="str"/>
      <x:c r="I38" s="22" t="str">
        <x:f>IF(AND(G38&lt;&gt;"",H38&lt;&gt;""),"SIM","NAO")</x:f>
        <x:v>NAO</x:v>
      </x:c>
      <x:c r="J38" s="23" t="str">
        <x:f>IF(OR(C38="",G38="",H38=""),"",LET(hs,XLOOKUP(C38,'Jogos_MataMata'!$A$2:$A$33,'Jogos_MataMata'!$O$2:$O$33,""),as,XLOOKUP(C38,'Jogos_MataMata'!$A$2:$A$33,'Jogos_MataMata'!$P$2:$P$33,""),win,XLOOKUP(C38,'Jogos_MataMata'!$A$2:$A$33,'Jogos_MataMata'!$Q$2:$Q$33,""),predWin,IF(G38&gt;H38,E38,IF(H38&gt;G38,F38,"")),IF(OR(hs="",as="",win=""),"",IF(predWin=win,IF(ABS(G38-H38)=ABS(hs-as),8,3),0))))</x:f>
      </x:c>
    </x:row>
    <x:row r="39">
      <x:c r="A39" s="21" t="str"/>
      <x:c r="B39" s="22" t="str"/>
      <x:c r="C39" s="22" t="str"/>
      <x:c r="D39" s="22" t="str">
        <x:f>IF(C39="","",XLOOKUP(C39,'Jogos_MataMata'!$A$2:$A$33,'Jogos_MataMata'!$B$2:$B$33,""))</x:f>
      </x:c>
      <x:c r="E39" s="22" t="str">
        <x:f>IF(C39="","",XLOOKUP(C39,'Jogos_MataMata'!$A$2:$A$33,'Jogos_MataMata'!$J$2:$J$33,""))</x:f>
      </x:c>
      <x:c r="F39" s="22" t="str">
        <x:f>IF(C39="","",XLOOKUP(C39,'Jogos_MataMata'!$A$2:$A$33,'Jogos_MataMata'!$K$2:$K$33,""))</x:f>
      </x:c>
      <x:c r="G39" s="22" t="str"/>
      <x:c r="H39" s="22" t="str"/>
      <x:c r="I39" s="22" t="str">
        <x:f>IF(AND(G39&lt;&gt;"",H39&lt;&gt;""),"SIM","NAO")</x:f>
        <x:v>NAO</x:v>
      </x:c>
      <x:c r="J39" s="23" t="str">
        <x:f>IF(OR(C39="",G39="",H39=""),"",LET(hs,XLOOKUP(C39,'Jogos_MataMata'!$A$2:$A$33,'Jogos_MataMata'!$O$2:$O$33,""),as,XLOOKUP(C39,'Jogos_MataMata'!$A$2:$A$33,'Jogos_MataMata'!$P$2:$P$33,""),win,XLOOKUP(C39,'Jogos_MataMata'!$A$2:$A$33,'Jogos_MataMata'!$Q$2:$Q$33,""),predWin,IF(G39&gt;H39,E39,IF(H39&gt;G39,F39,"")),IF(OR(hs="",as="",win=""),"",IF(predWin=win,IF(ABS(G39-H39)=ABS(hs-as),8,3),0))))</x:f>
      </x:c>
    </x:row>
    <x:row r="40">
      <x:c r="A40" s="21" t="str"/>
      <x:c r="B40" s="22" t="str"/>
      <x:c r="C40" s="22" t="str"/>
      <x:c r="D40" s="22" t="str">
        <x:f>IF(C40="","",XLOOKUP(C40,'Jogos_MataMata'!$A$2:$A$33,'Jogos_MataMata'!$B$2:$B$33,""))</x:f>
      </x:c>
      <x:c r="E40" s="22" t="str">
        <x:f>IF(C40="","",XLOOKUP(C40,'Jogos_MataMata'!$A$2:$A$33,'Jogos_MataMata'!$J$2:$J$33,""))</x:f>
      </x:c>
      <x:c r="F40" s="22" t="str">
        <x:f>IF(C40="","",XLOOKUP(C40,'Jogos_MataMata'!$A$2:$A$33,'Jogos_MataMata'!$K$2:$K$33,""))</x:f>
      </x:c>
      <x:c r="G40" s="22" t="str"/>
      <x:c r="H40" s="22" t="str"/>
      <x:c r="I40" s="22" t="str">
        <x:f>IF(AND(G40&lt;&gt;"",H40&lt;&gt;""),"SIM","NAO")</x:f>
        <x:v>NAO</x:v>
      </x:c>
      <x:c r="J40" s="23" t="str">
        <x:f>IF(OR(C40="",G40="",H40=""),"",LET(hs,XLOOKUP(C40,'Jogos_MataMata'!$A$2:$A$33,'Jogos_MataMata'!$O$2:$O$33,""),as,XLOOKUP(C40,'Jogos_MataMata'!$A$2:$A$33,'Jogos_MataMata'!$P$2:$P$33,""),win,XLOOKUP(C40,'Jogos_MataMata'!$A$2:$A$33,'Jogos_MataMata'!$Q$2:$Q$33,""),predWin,IF(G40&gt;H40,E40,IF(H40&gt;G40,F40,"")),IF(OR(hs="",as="",win=""),"",IF(predWin=win,IF(ABS(G40-H40)=ABS(hs-as),8,3),0))))</x:f>
      </x:c>
    </x:row>
    <x:row r="41">
      <x:c r="A41" s="21" t="str"/>
      <x:c r="B41" s="22" t="str"/>
      <x:c r="C41" s="22" t="str"/>
      <x:c r="D41" s="22" t="str">
        <x:f>IF(C41="","",XLOOKUP(C41,'Jogos_MataMata'!$A$2:$A$33,'Jogos_MataMata'!$B$2:$B$33,""))</x:f>
      </x:c>
      <x:c r="E41" s="22" t="str">
        <x:f>IF(C41="","",XLOOKUP(C41,'Jogos_MataMata'!$A$2:$A$33,'Jogos_MataMata'!$J$2:$J$33,""))</x:f>
      </x:c>
      <x:c r="F41" s="22" t="str">
        <x:f>IF(C41="","",XLOOKUP(C41,'Jogos_MataMata'!$A$2:$A$33,'Jogos_MataMata'!$K$2:$K$33,""))</x:f>
      </x:c>
      <x:c r="G41" s="22" t="str"/>
      <x:c r="H41" s="22" t="str"/>
      <x:c r="I41" s="22" t="str">
        <x:f>IF(AND(G41&lt;&gt;"",H41&lt;&gt;""),"SIM","NAO")</x:f>
        <x:v>NAO</x:v>
      </x:c>
      <x:c r="J41" s="23" t="str">
        <x:f>IF(OR(C41="",G41="",H41=""),"",LET(hs,XLOOKUP(C41,'Jogos_MataMata'!$A$2:$A$33,'Jogos_MataMata'!$O$2:$O$33,""),as,XLOOKUP(C41,'Jogos_MataMata'!$A$2:$A$33,'Jogos_MataMata'!$P$2:$P$33,""),win,XLOOKUP(C41,'Jogos_MataMata'!$A$2:$A$33,'Jogos_MataMata'!$Q$2:$Q$33,""),predWin,IF(G41&gt;H41,E41,IF(H41&gt;G41,F41,"")),IF(OR(hs="",as="",win=""),"",IF(predWin=win,IF(ABS(G41-H41)=ABS(hs-as),8,3),0))))</x:f>
      </x:c>
    </x:row>
    <x:row r="42">
      <x:c r="A42" s="21" t="str"/>
      <x:c r="B42" s="22" t="str"/>
      <x:c r="C42" s="22" t="str"/>
      <x:c r="D42" s="22" t="str">
        <x:f>IF(C42="","",XLOOKUP(C42,'Jogos_MataMata'!$A$2:$A$33,'Jogos_MataMata'!$B$2:$B$33,""))</x:f>
      </x:c>
      <x:c r="E42" s="22" t="str">
        <x:f>IF(C42="","",XLOOKUP(C42,'Jogos_MataMata'!$A$2:$A$33,'Jogos_MataMata'!$J$2:$J$33,""))</x:f>
      </x:c>
      <x:c r="F42" s="22" t="str">
        <x:f>IF(C42="","",XLOOKUP(C42,'Jogos_MataMata'!$A$2:$A$33,'Jogos_MataMata'!$K$2:$K$33,""))</x:f>
      </x:c>
      <x:c r="G42" s="22" t="str"/>
      <x:c r="H42" s="22" t="str"/>
      <x:c r="I42" s="22" t="str">
        <x:f>IF(AND(G42&lt;&gt;"",H42&lt;&gt;""),"SIM","NAO")</x:f>
        <x:v>NAO</x:v>
      </x:c>
      <x:c r="J42" s="23" t="str">
        <x:f>IF(OR(C42="",G42="",H42=""),"",LET(hs,XLOOKUP(C42,'Jogos_MataMata'!$A$2:$A$33,'Jogos_MataMata'!$O$2:$O$33,""),as,XLOOKUP(C42,'Jogos_MataMata'!$A$2:$A$33,'Jogos_MataMata'!$P$2:$P$33,""),win,XLOOKUP(C42,'Jogos_MataMata'!$A$2:$A$33,'Jogos_MataMata'!$Q$2:$Q$33,""),predWin,IF(G42&gt;H42,E42,IF(H42&gt;G42,F42,"")),IF(OR(hs="",as="",win=""),"",IF(predWin=win,IF(ABS(G42-H42)=ABS(hs-as),8,3),0))))</x:f>
      </x:c>
    </x:row>
    <x:row r="43">
      <x:c r="A43" s="21" t="str"/>
      <x:c r="B43" s="22" t="str"/>
      <x:c r="C43" s="22" t="str"/>
      <x:c r="D43" s="22" t="str">
        <x:f>IF(C43="","",XLOOKUP(C43,'Jogos_MataMata'!$A$2:$A$33,'Jogos_MataMata'!$B$2:$B$33,""))</x:f>
      </x:c>
      <x:c r="E43" s="22" t="str">
        <x:f>IF(C43="","",XLOOKUP(C43,'Jogos_MataMata'!$A$2:$A$33,'Jogos_MataMata'!$J$2:$J$33,""))</x:f>
      </x:c>
      <x:c r="F43" s="22" t="str">
        <x:f>IF(C43="","",XLOOKUP(C43,'Jogos_MataMata'!$A$2:$A$33,'Jogos_MataMata'!$K$2:$K$33,""))</x:f>
      </x:c>
      <x:c r="G43" s="22" t="str"/>
      <x:c r="H43" s="22" t="str"/>
      <x:c r="I43" s="22" t="str">
        <x:f>IF(AND(G43&lt;&gt;"",H43&lt;&gt;""),"SIM","NAO")</x:f>
        <x:v>NAO</x:v>
      </x:c>
      <x:c r="J43" s="23" t="str">
        <x:f>IF(OR(C43="",G43="",H43=""),"",LET(hs,XLOOKUP(C43,'Jogos_MataMata'!$A$2:$A$33,'Jogos_MataMata'!$O$2:$O$33,""),as,XLOOKUP(C43,'Jogos_MataMata'!$A$2:$A$33,'Jogos_MataMata'!$P$2:$P$33,""),win,XLOOKUP(C43,'Jogos_MataMata'!$A$2:$A$33,'Jogos_MataMata'!$Q$2:$Q$33,""),predWin,IF(G43&gt;H43,E43,IF(H43&gt;G43,F43,"")),IF(OR(hs="",as="",win=""),"",IF(predWin=win,IF(ABS(G43-H43)=ABS(hs-as),8,3),0))))</x:f>
      </x:c>
    </x:row>
    <x:row r="44">
      <x:c r="A44" s="21" t="str"/>
      <x:c r="B44" s="22" t="str"/>
      <x:c r="C44" s="22" t="str"/>
      <x:c r="D44" s="22" t="str">
        <x:f>IF(C44="","",XLOOKUP(C44,'Jogos_MataMata'!$A$2:$A$33,'Jogos_MataMata'!$B$2:$B$33,""))</x:f>
      </x:c>
      <x:c r="E44" s="22" t="str">
        <x:f>IF(C44="","",XLOOKUP(C44,'Jogos_MataMata'!$A$2:$A$33,'Jogos_MataMata'!$J$2:$J$33,""))</x:f>
      </x:c>
      <x:c r="F44" s="22" t="str">
        <x:f>IF(C44="","",XLOOKUP(C44,'Jogos_MataMata'!$A$2:$A$33,'Jogos_MataMata'!$K$2:$K$33,""))</x:f>
      </x:c>
      <x:c r="G44" s="22" t="str"/>
      <x:c r="H44" s="22" t="str"/>
      <x:c r="I44" s="22" t="str">
        <x:f>IF(AND(G44&lt;&gt;"",H44&lt;&gt;""),"SIM","NAO")</x:f>
        <x:v>NAO</x:v>
      </x:c>
      <x:c r="J44" s="23" t="str">
        <x:f>IF(OR(C44="",G44="",H44=""),"",LET(hs,XLOOKUP(C44,'Jogos_MataMata'!$A$2:$A$33,'Jogos_MataMata'!$O$2:$O$33,""),as,XLOOKUP(C44,'Jogos_MataMata'!$A$2:$A$33,'Jogos_MataMata'!$P$2:$P$33,""),win,XLOOKUP(C44,'Jogos_MataMata'!$A$2:$A$33,'Jogos_MataMata'!$Q$2:$Q$33,""),predWin,IF(G44&gt;H44,E44,IF(H44&gt;G44,F44,"")),IF(OR(hs="",as="",win=""),"",IF(predWin=win,IF(ABS(G44-H44)=ABS(hs-as),8,3),0))))</x:f>
      </x:c>
    </x:row>
    <x:row r="45">
      <x:c r="A45" s="21" t="str"/>
      <x:c r="B45" s="22" t="str"/>
      <x:c r="C45" s="22" t="str"/>
      <x:c r="D45" s="22" t="str">
        <x:f>IF(C45="","",XLOOKUP(C45,'Jogos_MataMata'!$A$2:$A$33,'Jogos_MataMata'!$B$2:$B$33,""))</x:f>
      </x:c>
      <x:c r="E45" s="22" t="str">
        <x:f>IF(C45="","",XLOOKUP(C45,'Jogos_MataMata'!$A$2:$A$33,'Jogos_MataMata'!$J$2:$J$33,""))</x:f>
      </x:c>
      <x:c r="F45" s="22" t="str">
        <x:f>IF(C45="","",XLOOKUP(C45,'Jogos_MataMata'!$A$2:$A$33,'Jogos_MataMata'!$K$2:$K$33,""))</x:f>
      </x:c>
      <x:c r="G45" s="22" t="str"/>
      <x:c r="H45" s="22" t="str"/>
      <x:c r="I45" s="22" t="str">
        <x:f>IF(AND(G45&lt;&gt;"",H45&lt;&gt;""),"SIM","NAO")</x:f>
        <x:v>NAO</x:v>
      </x:c>
      <x:c r="J45" s="23" t="str">
        <x:f>IF(OR(C45="",G45="",H45=""),"",LET(hs,XLOOKUP(C45,'Jogos_MataMata'!$A$2:$A$33,'Jogos_MataMata'!$O$2:$O$33,""),as,XLOOKUP(C45,'Jogos_MataMata'!$A$2:$A$33,'Jogos_MataMata'!$P$2:$P$33,""),win,XLOOKUP(C45,'Jogos_MataMata'!$A$2:$A$33,'Jogos_MataMata'!$Q$2:$Q$33,""),predWin,IF(G45&gt;H45,E45,IF(H45&gt;G45,F45,"")),IF(OR(hs="",as="",win=""),"",IF(predWin=win,IF(ABS(G45-H45)=ABS(hs-as),8,3),0))))</x:f>
      </x:c>
    </x:row>
    <x:row r="46">
      <x:c r="A46" s="21" t="str"/>
      <x:c r="B46" s="22" t="str"/>
      <x:c r="C46" s="22" t="str"/>
      <x:c r="D46" s="22" t="str">
        <x:f>IF(C46="","",XLOOKUP(C46,'Jogos_MataMata'!$A$2:$A$33,'Jogos_MataMata'!$B$2:$B$33,""))</x:f>
      </x:c>
      <x:c r="E46" s="22" t="str">
        <x:f>IF(C46="","",XLOOKUP(C46,'Jogos_MataMata'!$A$2:$A$33,'Jogos_MataMata'!$J$2:$J$33,""))</x:f>
      </x:c>
      <x:c r="F46" s="22" t="str">
        <x:f>IF(C46="","",XLOOKUP(C46,'Jogos_MataMata'!$A$2:$A$33,'Jogos_MataMata'!$K$2:$K$33,""))</x:f>
      </x:c>
      <x:c r="G46" s="22" t="str"/>
      <x:c r="H46" s="22" t="str"/>
      <x:c r="I46" s="22" t="str">
        <x:f>IF(AND(G46&lt;&gt;"",H46&lt;&gt;""),"SIM","NAO")</x:f>
        <x:v>NAO</x:v>
      </x:c>
      <x:c r="J46" s="23" t="str">
        <x:f>IF(OR(C46="",G46="",H46=""),"",LET(hs,XLOOKUP(C46,'Jogos_MataMata'!$A$2:$A$33,'Jogos_MataMata'!$O$2:$O$33,""),as,XLOOKUP(C46,'Jogos_MataMata'!$A$2:$A$33,'Jogos_MataMata'!$P$2:$P$33,""),win,XLOOKUP(C46,'Jogos_MataMata'!$A$2:$A$33,'Jogos_MataMata'!$Q$2:$Q$33,""),predWin,IF(G46&gt;H46,E46,IF(H46&gt;G46,F46,"")),IF(OR(hs="",as="",win=""),"",IF(predWin=win,IF(ABS(G46-H46)=ABS(hs-as),8,3),0))))</x:f>
      </x:c>
    </x:row>
    <x:row r="47">
      <x:c r="A47" s="21" t="str"/>
      <x:c r="B47" s="22" t="str"/>
      <x:c r="C47" s="22" t="str"/>
      <x:c r="D47" s="22" t="str">
        <x:f>IF(C47="","",XLOOKUP(C47,'Jogos_MataMata'!$A$2:$A$33,'Jogos_MataMata'!$B$2:$B$33,""))</x:f>
      </x:c>
      <x:c r="E47" s="22" t="str">
        <x:f>IF(C47="","",XLOOKUP(C47,'Jogos_MataMata'!$A$2:$A$33,'Jogos_MataMata'!$J$2:$J$33,""))</x:f>
      </x:c>
      <x:c r="F47" s="22" t="str">
        <x:f>IF(C47="","",XLOOKUP(C47,'Jogos_MataMata'!$A$2:$A$33,'Jogos_MataMata'!$K$2:$K$33,""))</x:f>
      </x:c>
      <x:c r="G47" s="22" t="str"/>
      <x:c r="H47" s="22" t="str"/>
      <x:c r="I47" s="22" t="str">
        <x:f>IF(AND(G47&lt;&gt;"",H47&lt;&gt;""),"SIM","NAO")</x:f>
        <x:v>NAO</x:v>
      </x:c>
      <x:c r="J47" s="23" t="str">
        <x:f>IF(OR(C47="",G47="",H47=""),"",LET(hs,XLOOKUP(C47,'Jogos_MataMata'!$A$2:$A$33,'Jogos_MataMata'!$O$2:$O$33,""),as,XLOOKUP(C47,'Jogos_MataMata'!$A$2:$A$33,'Jogos_MataMata'!$P$2:$P$33,""),win,XLOOKUP(C47,'Jogos_MataMata'!$A$2:$A$33,'Jogos_MataMata'!$Q$2:$Q$33,""),predWin,IF(G47&gt;H47,E47,IF(H47&gt;G47,F47,"")),IF(OR(hs="",as="",win=""),"",IF(predWin=win,IF(ABS(G47-H47)=ABS(hs-as),8,3),0))))</x:f>
      </x:c>
    </x:row>
    <x:row r="48">
      <x:c r="A48" s="21" t="str"/>
      <x:c r="B48" s="22" t="str"/>
      <x:c r="C48" s="22" t="str"/>
      <x:c r="D48" s="22" t="str">
        <x:f>IF(C48="","",XLOOKUP(C48,'Jogos_MataMata'!$A$2:$A$33,'Jogos_MataMata'!$B$2:$B$33,""))</x:f>
      </x:c>
      <x:c r="E48" s="22" t="str">
        <x:f>IF(C48="","",XLOOKUP(C48,'Jogos_MataMata'!$A$2:$A$33,'Jogos_MataMata'!$J$2:$J$33,""))</x:f>
      </x:c>
      <x:c r="F48" s="22" t="str">
        <x:f>IF(C48="","",XLOOKUP(C48,'Jogos_MataMata'!$A$2:$A$33,'Jogos_MataMata'!$K$2:$K$33,""))</x:f>
      </x:c>
      <x:c r="G48" s="22" t="str"/>
      <x:c r="H48" s="22" t="str"/>
      <x:c r="I48" s="22" t="str">
        <x:f>IF(AND(G48&lt;&gt;"",H48&lt;&gt;""),"SIM","NAO")</x:f>
        <x:v>NAO</x:v>
      </x:c>
      <x:c r="J48" s="23" t="str">
        <x:f>IF(OR(C48="",G48="",H48=""),"",LET(hs,XLOOKUP(C48,'Jogos_MataMata'!$A$2:$A$33,'Jogos_MataMata'!$O$2:$O$33,""),as,XLOOKUP(C48,'Jogos_MataMata'!$A$2:$A$33,'Jogos_MataMata'!$P$2:$P$33,""),win,XLOOKUP(C48,'Jogos_MataMata'!$A$2:$A$33,'Jogos_MataMata'!$Q$2:$Q$33,""),predWin,IF(G48&gt;H48,E48,IF(H48&gt;G48,F48,"")),IF(OR(hs="",as="",win=""),"",IF(predWin=win,IF(ABS(G48-H48)=ABS(hs-as),8,3),0))))</x:f>
      </x:c>
    </x:row>
    <x:row r="49">
      <x:c r="A49" s="21" t="str"/>
      <x:c r="B49" s="22" t="str"/>
      <x:c r="C49" s="22" t="str"/>
      <x:c r="D49" s="22" t="str">
        <x:f>IF(C49="","",XLOOKUP(C49,'Jogos_MataMata'!$A$2:$A$33,'Jogos_MataMata'!$B$2:$B$33,""))</x:f>
      </x:c>
      <x:c r="E49" s="22" t="str">
        <x:f>IF(C49="","",XLOOKUP(C49,'Jogos_MataMata'!$A$2:$A$33,'Jogos_MataMata'!$J$2:$J$33,""))</x:f>
      </x:c>
      <x:c r="F49" s="22" t="str">
        <x:f>IF(C49="","",XLOOKUP(C49,'Jogos_MataMata'!$A$2:$A$33,'Jogos_MataMata'!$K$2:$K$33,""))</x:f>
      </x:c>
      <x:c r="G49" s="22" t="str"/>
      <x:c r="H49" s="22" t="str"/>
      <x:c r="I49" s="22" t="str">
        <x:f>IF(AND(G49&lt;&gt;"",H49&lt;&gt;""),"SIM","NAO")</x:f>
        <x:v>NAO</x:v>
      </x:c>
      <x:c r="J49" s="23" t="str">
        <x:f>IF(OR(C49="",G49="",H49=""),"",LET(hs,XLOOKUP(C49,'Jogos_MataMata'!$A$2:$A$33,'Jogos_MataMata'!$O$2:$O$33,""),as,XLOOKUP(C49,'Jogos_MataMata'!$A$2:$A$33,'Jogos_MataMata'!$P$2:$P$33,""),win,XLOOKUP(C49,'Jogos_MataMata'!$A$2:$A$33,'Jogos_MataMata'!$Q$2:$Q$33,""),predWin,IF(G49&gt;H49,E49,IF(H49&gt;G49,F49,"")),IF(OR(hs="",as="",win=""),"",IF(predWin=win,IF(ABS(G49-H49)=ABS(hs-as),8,3),0))))</x:f>
      </x:c>
    </x:row>
    <x:row r="50">
      <x:c r="A50" s="21" t="str"/>
      <x:c r="B50" s="22" t="str"/>
      <x:c r="C50" s="22" t="str"/>
      <x:c r="D50" s="22" t="str">
        <x:f>IF(C50="","",XLOOKUP(C50,'Jogos_MataMata'!$A$2:$A$33,'Jogos_MataMata'!$B$2:$B$33,""))</x:f>
      </x:c>
      <x:c r="E50" s="22" t="str">
        <x:f>IF(C50="","",XLOOKUP(C50,'Jogos_MataMata'!$A$2:$A$33,'Jogos_MataMata'!$J$2:$J$33,""))</x:f>
      </x:c>
      <x:c r="F50" s="22" t="str">
        <x:f>IF(C50="","",XLOOKUP(C50,'Jogos_MataMata'!$A$2:$A$33,'Jogos_MataMata'!$K$2:$K$33,""))</x:f>
      </x:c>
      <x:c r="G50" s="22" t="str"/>
      <x:c r="H50" s="22" t="str"/>
      <x:c r="I50" s="22" t="str">
        <x:f>IF(AND(G50&lt;&gt;"",H50&lt;&gt;""),"SIM","NAO")</x:f>
        <x:v>NAO</x:v>
      </x:c>
      <x:c r="J50" s="23" t="str">
        <x:f>IF(OR(C50="",G50="",H50=""),"",LET(hs,XLOOKUP(C50,'Jogos_MataMata'!$A$2:$A$33,'Jogos_MataMata'!$O$2:$O$33,""),as,XLOOKUP(C50,'Jogos_MataMata'!$A$2:$A$33,'Jogos_MataMata'!$P$2:$P$33,""),win,XLOOKUP(C50,'Jogos_MataMata'!$A$2:$A$33,'Jogos_MataMata'!$Q$2:$Q$33,""),predWin,IF(G50&gt;H50,E50,IF(H50&gt;G50,F50,"")),IF(OR(hs="",as="",win=""),"",IF(predWin=win,IF(ABS(G50-H50)=ABS(hs-as),8,3),0))))</x:f>
      </x:c>
    </x:row>
    <x:row r="51">
      <x:c r="A51" s="21" t="str"/>
      <x:c r="B51" s="22" t="str"/>
      <x:c r="C51" s="22" t="str"/>
      <x:c r="D51" s="22" t="str">
        <x:f>IF(C51="","",XLOOKUP(C51,'Jogos_MataMata'!$A$2:$A$33,'Jogos_MataMata'!$B$2:$B$33,""))</x:f>
      </x:c>
      <x:c r="E51" s="22" t="str">
        <x:f>IF(C51="","",XLOOKUP(C51,'Jogos_MataMata'!$A$2:$A$33,'Jogos_MataMata'!$J$2:$J$33,""))</x:f>
      </x:c>
      <x:c r="F51" s="22" t="str">
        <x:f>IF(C51="","",XLOOKUP(C51,'Jogos_MataMata'!$A$2:$A$33,'Jogos_MataMata'!$K$2:$K$33,""))</x:f>
      </x:c>
      <x:c r="G51" s="22" t="str"/>
      <x:c r="H51" s="22" t="str"/>
      <x:c r="I51" s="22" t="str">
        <x:f>IF(AND(G51&lt;&gt;"",H51&lt;&gt;""),"SIM","NAO")</x:f>
        <x:v>NAO</x:v>
      </x:c>
      <x:c r="J51" s="23" t="str">
        <x:f>IF(OR(C51="",G51="",H51=""),"",LET(hs,XLOOKUP(C51,'Jogos_MataMata'!$A$2:$A$33,'Jogos_MataMata'!$O$2:$O$33,""),as,XLOOKUP(C51,'Jogos_MataMata'!$A$2:$A$33,'Jogos_MataMata'!$P$2:$P$33,""),win,XLOOKUP(C51,'Jogos_MataMata'!$A$2:$A$33,'Jogos_MataMata'!$Q$2:$Q$33,""),predWin,IF(G51&gt;H51,E51,IF(H51&gt;G51,F51,"")),IF(OR(hs="",as="",win=""),"",IF(predWin=win,IF(ABS(G51-H51)=ABS(hs-as),8,3),0))))</x:f>
      </x:c>
    </x:row>
    <x:row r="52">
      <x:c r="A52" s="21" t="str"/>
      <x:c r="B52" s="22" t="str"/>
      <x:c r="C52" s="22" t="str"/>
      <x:c r="D52" s="22" t="str">
        <x:f>IF(C52="","",XLOOKUP(C52,'Jogos_MataMata'!$A$2:$A$33,'Jogos_MataMata'!$B$2:$B$33,""))</x:f>
      </x:c>
      <x:c r="E52" s="22" t="str">
        <x:f>IF(C52="","",XLOOKUP(C52,'Jogos_MataMata'!$A$2:$A$33,'Jogos_MataMata'!$J$2:$J$33,""))</x:f>
      </x:c>
      <x:c r="F52" s="22" t="str">
        <x:f>IF(C52="","",XLOOKUP(C52,'Jogos_MataMata'!$A$2:$A$33,'Jogos_MataMata'!$K$2:$K$33,""))</x:f>
      </x:c>
      <x:c r="G52" s="22" t="str"/>
      <x:c r="H52" s="22" t="str"/>
      <x:c r="I52" s="22" t="str">
        <x:f>IF(AND(G52&lt;&gt;"",H52&lt;&gt;""),"SIM","NAO")</x:f>
        <x:v>NAO</x:v>
      </x:c>
      <x:c r="J52" s="23" t="str">
        <x:f>IF(OR(C52="",G52="",H52=""),"",LET(hs,XLOOKUP(C52,'Jogos_MataMata'!$A$2:$A$33,'Jogos_MataMata'!$O$2:$O$33,""),as,XLOOKUP(C52,'Jogos_MataMata'!$A$2:$A$33,'Jogos_MataMata'!$P$2:$P$33,""),win,XLOOKUP(C52,'Jogos_MataMata'!$A$2:$A$33,'Jogos_MataMata'!$Q$2:$Q$33,""),predWin,IF(G52&gt;H52,E52,IF(H52&gt;G52,F52,"")),IF(OR(hs="",as="",win=""),"",IF(predWin=win,IF(ABS(G52-H52)=ABS(hs-as),8,3),0))))</x:f>
      </x:c>
    </x:row>
    <x:row r="53">
      <x:c r="A53" s="21" t="str"/>
      <x:c r="B53" s="22" t="str"/>
      <x:c r="C53" s="22" t="str"/>
      <x:c r="D53" s="22" t="str">
        <x:f>IF(C53="","",XLOOKUP(C53,'Jogos_MataMata'!$A$2:$A$33,'Jogos_MataMata'!$B$2:$B$33,""))</x:f>
      </x:c>
      <x:c r="E53" s="22" t="str">
        <x:f>IF(C53="","",XLOOKUP(C53,'Jogos_MataMata'!$A$2:$A$33,'Jogos_MataMata'!$J$2:$J$33,""))</x:f>
      </x:c>
      <x:c r="F53" s="22" t="str">
        <x:f>IF(C53="","",XLOOKUP(C53,'Jogos_MataMata'!$A$2:$A$33,'Jogos_MataMata'!$K$2:$K$33,""))</x:f>
      </x:c>
      <x:c r="G53" s="22" t="str"/>
      <x:c r="H53" s="22" t="str"/>
      <x:c r="I53" s="22" t="str">
        <x:f>IF(AND(G53&lt;&gt;"",H53&lt;&gt;""),"SIM","NAO")</x:f>
        <x:v>NAO</x:v>
      </x:c>
      <x:c r="J53" s="23" t="str">
        <x:f>IF(OR(C53="",G53="",H53=""),"",LET(hs,XLOOKUP(C53,'Jogos_MataMata'!$A$2:$A$33,'Jogos_MataMata'!$O$2:$O$33,""),as,XLOOKUP(C53,'Jogos_MataMata'!$A$2:$A$33,'Jogos_MataMata'!$P$2:$P$33,""),win,XLOOKUP(C53,'Jogos_MataMata'!$A$2:$A$33,'Jogos_MataMata'!$Q$2:$Q$33,""),predWin,IF(G53&gt;H53,E53,IF(H53&gt;G53,F53,"")),IF(OR(hs="",as="",win=""),"",IF(predWin=win,IF(ABS(G53-H53)=ABS(hs-as),8,3),0))))</x:f>
      </x:c>
    </x:row>
    <x:row r="54">
      <x:c r="A54" s="21" t="str"/>
      <x:c r="B54" s="22" t="str"/>
      <x:c r="C54" s="22" t="str"/>
      <x:c r="D54" s="22" t="str">
        <x:f>IF(C54="","",XLOOKUP(C54,'Jogos_MataMata'!$A$2:$A$33,'Jogos_MataMata'!$B$2:$B$33,""))</x:f>
      </x:c>
      <x:c r="E54" s="22" t="str">
        <x:f>IF(C54="","",XLOOKUP(C54,'Jogos_MataMata'!$A$2:$A$33,'Jogos_MataMata'!$J$2:$J$33,""))</x:f>
      </x:c>
      <x:c r="F54" s="22" t="str">
        <x:f>IF(C54="","",XLOOKUP(C54,'Jogos_MataMata'!$A$2:$A$33,'Jogos_MataMata'!$K$2:$K$33,""))</x:f>
      </x:c>
      <x:c r="G54" s="22" t="str"/>
      <x:c r="H54" s="22" t="str"/>
      <x:c r="I54" s="22" t="str">
        <x:f>IF(AND(G54&lt;&gt;"",H54&lt;&gt;""),"SIM","NAO")</x:f>
        <x:v>NAO</x:v>
      </x:c>
      <x:c r="J54" s="23" t="str">
        <x:f>IF(OR(C54="",G54="",H54=""),"",LET(hs,XLOOKUP(C54,'Jogos_MataMata'!$A$2:$A$33,'Jogos_MataMata'!$O$2:$O$33,""),as,XLOOKUP(C54,'Jogos_MataMata'!$A$2:$A$33,'Jogos_MataMata'!$P$2:$P$33,""),win,XLOOKUP(C54,'Jogos_MataMata'!$A$2:$A$33,'Jogos_MataMata'!$Q$2:$Q$33,""),predWin,IF(G54&gt;H54,E54,IF(H54&gt;G54,F54,"")),IF(OR(hs="",as="",win=""),"",IF(predWin=win,IF(ABS(G54-H54)=ABS(hs-as),8,3),0))))</x:f>
      </x:c>
    </x:row>
    <x:row r="55">
      <x:c r="A55" s="21" t="str"/>
      <x:c r="B55" s="22" t="str"/>
      <x:c r="C55" s="22" t="str"/>
      <x:c r="D55" s="22" t="str">
        <x:f>IF(C55="","",XLOOKUP(C55,'Jogos_MataMata'!$A$2:$A$33,'Jogos_MataMata'!$B$2:$B$33,""))</x:f>
      </x:c>
      <x:c r="E55" s="22" t="str">
        <x:f>IF(C55="","",XLOOKUP(C55,'Jogos_MataMata'!$A$2:$A$33,'Jogos_MataMata'!$J$2:$J$33,""))</x:f>
      </x:c>
      <x:c r="F55" s="22" t="str">
        <x:f>IF(C55="","",XLOOKUP(C55,'Jogos_MataMata'!$A$2:$A$33,'Jogos_MataMata'!$K$2:$K$33,""))</x:f>
      </x:c>
      <x:c r="G55" s="22" t="str"/>
      <x:c r="H55" s="22" t="str"/>
      <x:c r="I55" s="22" t="str">
        <x:f>IF(AND(G55&lt;&gt;"",H55&lt;&gt;""),"SIM","NAO")</x:f>
        <x:v>NAO</x:v>
      </x:c>
      <x:c r="J55" s="23" t="str">
        <x:f>IF(OR(C55="",G55="",H55=""),"",LET(hs,XLOOKUP(C55,'Jogos_MataMata'!$A$2:$A$33,'Jogos_MataMata'!$O$2:$O$33,""),as,XLOOKUP(C55,'Jogos_MataMata'!$A$2:$A$33,'Jogos_MataMata'!$P$2:$P$33,""),win,XLOOKUP(C55,'Jogos_MataMata'!$A$2:$A$33,'Jogos_MataMata'!$Q$2:$Q$33,""),predWin,IF(G55&gt;H55,E55,IF(H55&gt;G55,F55,"")),IF(OR(hs="",as="",win=""),"",IF(predWin=win,IF(ABS(G55-H55)=ABS(hs-as),8,3),0))))</x:f>
      </x:c>
    </x:row>
    <x:row r="56">
      <x:c r="A56" s="21" t="str"/>
      <x:c r="B56" s="22" t="str"/>
      <x:c r="C56" s="22" t="str"/>
      <x:c r="D56" s="22" t="str">
        <x:f>IF(C56="","",XLOOKUP(C56,'Jogos_MataMata'!$A$2:$A$33,'Jogos_MataMata'!$B$2:$B$33,""))</x:f>
      </x:c>
      <x:c r="E56" s="22" t="str">
        <x:f>IF(C56="","",XLOOKUP(C56,'Jogos_MataMata'!$A$2:$A$33,'Jogos_MataMata'!$J$2:$J$33,""))</x:f>
      </x:c>
      <x:c r="F56" s="22" t="str">
        <x:f>IF(C56="","",XLOOKUP(C56,'Jogos_MataMata'!$A$2:$A$33,'Jogos_MataMata'!$K$2:$K$33,""))</x:f>
      </x:c>
      <x:c r="G56" s="22" t="str"/>
      <x:c r="H56" s="22" t="str"/>
      <x:c r="I56" s="22" t="str">
        <x:f>IF(AND(G56&lt;&gt;"",H56&lt;&gt;""),"SIM","NAO")</x:f>
        <x:v>NAO</x:v>
      </x:c>
      <x:c r="J56" s="23" t="str">
        <x:f>IF(OR(C56="",G56="",H56=""),"",LET(hs,XLOOKUP(C56,'Jogos_MataMata'!$A$2:$A$33,'Jogos_MataMata'!$O$2:$O$33,""),as,XLOOKUP(C56,'Jogos_MataMata'!$A$2:$A$33,'Jogos_MataMata'!$P$2:$P$33,""),win,XLOOKUP(C56,'Jogos_MataMata'!$A$2:$A$33,'Jogos_MataMata'!$Q$2:$Q$33,""),predWin,IF(G56&gt;H56,E56,IF(H56&gt;G56,F56,"")),IF(OR(hs="",as="",win=""),"",IF(predWin=win,IF(ABS(G56-H56)=ABS(hs-as),8,3),0))))</x:f>
      </x:c>
    </x:row>
    <x:row r="57">
      <x:c r="A57" s="21" t="str"/>
      <x:c r="B57" s="22" t="str"/>
      <x:c r="C57" s="22" t="str"/>
      <x:c r="D57" s="22" t="str">
        <x:f>IF(C57="","",XLOOKUP(C57,'Jogos_MataMata'!$A$2:$A$33,'Jogos_MataMata'!$B$2:$B$33,""))</x:f>
      </x:c>
      <x:c r="E57" s="22" t="str">
        <x:f>IF(C57="","",XLOOKUP(C57,'Jogos_MataMata'!$A$2:$A$33,'Jogos_MataMata'!$J$2:$J$33,""))</x:f>
      </x:c>
      <x:c r="F57" s="22" t="str">
        <x:f>IF(C57="","",XLOOKUP(C57,'Jogos_MataMata'!$A$2:$A$33,'Jogos_MataMata'!$K$2:$K$33,""))</x:f>
      </x:c>
      <x:c r="G57" s="22" t="str"/>
      <x:c r="H57" s="22" t="str"/>
      <x:c r="I57" s="22" t="str">
        <x:f>IF(AND(G57&lt;&gt;"",H57&lt;&gt;""),"SIM","NAO")</x:f>
        <x:v>NAO</x:v>
      </x:c>
      <x:c r="J57" s="23" t="str">
        <x:f>IF(OR(C57="",G57="",H57=""),"",LET(hs,XLOOKUP(C57,'Jogos_MataMata'!$A$2:$A$33,'Jogos_MataMata'!$O$2:$O$33,""),as,XLOOKUP(C57,'Jogos_MataMata'!$A$2:$A$33,'Jogos_MataMata'!$P$2:$P$33,""),win,XLOOKUP(C57,'Jogos_MataMata'!$A$2:$A$33,'Jogos_MataMata'!$Q$2:$Q$33,""),predWin,IF(G57&gt;H57,E57,IF(H57&gt;G57,F57,"")),IF(OR(hs="",as="",win=""),"",IF(predWin=win,IF(ABS(G57-H57)=ABS(hs-as),8,3),0))))</x:f>
      </x:c>
    </x:row>
    <x:row r="58">
      <x:c r="A58" s="21" t="str"/>
      <x:c r="B58" s="22" t="str"/>
      <x:c r="C58" s="22" t="str"/>
      <x:c r="D58" s="22" t="str">
        <x:f>IF(C58="","",XLOOKUP(C58,'Jogos_MataMata'!$A$2:$A$33,'Jogos_MataMata'!$B$2:$B$33,""))</x:f>
      </x:c>
      <x:c r="E58" s="22" t="str">
        <x:f>IF(C58="","",XLOOKUP(C58,'Jogos_MataMata'!$A$2:$A$33,'Jogos_MataMata'!$J$2:$J$33,""))</x:f>
      </x:c>
      <x:c r="F58" s="22" t="str">
        <x:f>IF(C58="","",XLOOKUP(C58,'Jogos_MataMata'!$A$2:$A$33,'Jogos_MataMata'!$K$2:$K$33,""))</x:f>
      </x:c>
      <x:c r="G58" s="22" t="str"/>
      <x:c r="H58" s="22" t="str"/>
      <x:c r="I58" s="22" t="str">
        <x:f>IF(AND(G58&lt;&gt;"",H58&lt;&gt;""),"SIM","NAO")</x:f>
        <x:v>NAO</x:v>
      </x:c>
      <x:c r="J58" s="23" t="str">
        <x:f>IF(OR(C58="",G58="",H58=""),"",LET(hs,XLOOKUP(C58,'Jogos_MataMata'!$A$2:$A$33,'Jogos_MataMata'!$O$2:$O$33,""),as,XLOOKUP(C58,'Jogos_MataMata'!$A$2:$A$33,'Jogos_MataMata'!$P$2:$P$33,""),win,XLOOKUP(C58,'Jogos_MataMata'!$A$2:$A$33,'Jogos_MataMata'!$Q$2:$Q$33,""),predWin,IF(G58&gt;H58,E58,IF(H58&gt;G58,F58,"")),IF(OR(hs="",as="",win=""),"",IF(predWin=win,IF(ABS(G58-H58)=ABS(hs-as),8,3),0))))</x:f>
      </x:c>
    </x:row>
    <x:row r="59">
      <x:c r="A59" s="21" t="str"/>
      <x:c r="B59" s="22" t="str"/>
      <x:c r="C59" s="22" t="str"/>
      <x:c r="D59" s="22" t="str">
        <x:f>IF(C59="","",XLOOKUP(C59,'Jogos_MataMata'!$A$2:$A$33,'Jogos_MataMata'!$B$2:$B$33,""))</x:f>
      </x:c>
      <x:c r="E59" s="22" t="str">
        <x:f>IF(C59="","",XLOOKUP(C59,'Jogos_MataMata'!$A$2:$A$33,'Jogos_MataMata'!$J$2:$J$33,""))</x:f>
      </x:c>
      <x:c r="F59" s="22" t="str">
        <x:f>IF(C59="","",XLOOKUP(C59,'Jogos_MataMata'!$A$2:$A$33,'Jogos_MataMata'!$K$2:$K$33,""))</x:f>
      </x:c>
      <x:c r="G59" s="22" t="str"/>
      <x:c r="H59" s="22" t="str"/>
      <x:c r="I59" s="22" t="str">
        <x:f>IF(AND(G59&lt;&gt;"",H59&lt;&gt;""),"SIM","NAO")</x:f>
        <x:v>NAO</x:v>
      </x:c>
      <x:c r="J59" s="23" t="str">
        <x:f>IF(OR(C59="",G59="",H59=""),"",LET(hs,XLOOKUP(C59,'Jogos_MataMata'!$A$2:$A$33,'Jogos_MataMata'!$O$2:$O$33,""),as,XLOOKUP(C59,'Jogos_MataMata'!$A$2:$A$33,'Jogos_MataMata'!$P$2:$P$33,""),win,XLOOKUP(C59,'Jogos_MataMata'!$A$2:$A$33,'Jogos_MataMata'!$Q$2:$Q$33,""),predWin,IF(G59&gt;H59,E59,IF(H59&gt;G59,F59,"")),IF(OR(hs="",as="",win=""),"",IF(predWin=win,IF(ABS(G59-H59)=ABS(hs-as),8,3),0))))</x:f>
      </x:c>
    </x:row>
    <x:row r="60">
      <x:c r="A60" s="21" t="str"/>
      <x:c r="B60" s="22" t="str"/>
      <x:c r="C60" s="22" t="str"/>
      <x:c r="D60" s="22" t="str">
        <x:f>IF(C60="","",XLOOKUP(C60,'Jogos_MataMata'!$A$2:$A$33,'Jogos_MataMata'!$B$2:$B$33,""))</x:f>
      </x:c>
      <x:c r="E60" s="22" t="str">
        <x:f>IF(C60="","",XLOOKUP(C60,'Jogos_MataMata'!$A$2:$A$33,'Jogos_MataMata'!$J$2:$J$33,""))</x:f>
      </x:c>
      <x:c r="F60" s="22" t="str">
        <x:f>IF(C60="","",XLOOKUP(C60,'Jogos_MataMata'!$A$2:$A$33,'Jogos_MataMata'!$K$2:$K$33,""))</x:f>
      </x:c>
      <x:c r="G60" s="22" t="str"/>
      <x:c r="H60" s="22" t="str"/>
      <x:c r="I60" s="22" t="str">
        <x:f>IF(AND(G60&lt;&gt;"",H60&lt;&gt;""),"SIM","NAO")</x:f>
        <x:v>NAO</x:v>
      </x:c>
      <x:c r="J60" s="23" t="str">
        <x:f>IF(OR(C60="",G60="",H60=""),"",LET(hs,XLOOKUP(C60,'Jogos_MataMata'!$A$2:$A$33,'Jogos_MataMata'!$O$2:$O$33,""),as,XLOOKUP(C60,'Jogos_MataMata'!$A$2:$A$33,'Jogos_MataMata'!$P$2:$P$33,""),win,XLOOKUP(C60,'Jogos_MataMata'!$A$2:$A$33,'Jogos_MataMata'!$Q$2:$Q$33,""),predWin,IF(G60&gt;H60,E60,IF(H60&gt;G60,F60,"")),IF(OR(hs="",as="",win=""),"",IF(predWin=win,IF(ABS(G60-H60)=ABS(hs-as),8,3),0))))</x:f>
      </x:c>
    </x:row>
    <x:row r="61">
      <x:c r="A61" s="21" t="str"/>
      <x:c r="B61" s="22" t="str"/>
      <x:c r="C61" s="22" t="str"/>
      <x:c r="D61" s="22" t="str">
        <x:f>IF(C61="","",XLOOKUP(C61,'Jogos_MataMata'!$A$2:$A$33,'Jogos_MataMata'!$B$2:$B$33,""))</x:f>
      </x:c>
      <x:c r="E61" s="22" t="str">
        <x:f>IF(C61="","",XLOOKUP(C61,'Jogos_MataMata'!$A$2:$A$33,'Jogos_MataMata'!$J$2:$J$33,""))</x:f>
      </x:c>
      <x:c r="F61" s="22" t="str">
        <x:f>IF(C61="","",XLOOKUP(C61,'Jogos_MataMata'!$A$2:$A$33,'Jogos_MataMata'!$K$2:$K$33,""))</x:f>
      </x:c>
      <x:c r="G61" s="22" t="str"/>
      <x:c r="H61" s="22" t="str"/>
      <x:c r="I61" s="22" t="str">
        <x:f>IF(AND(G61&lt;&gt;"",H61&lt;&gt;""),"SIM","NAO")</x:f>
        <x:v>NAO</x:v>
      </x:c>
      <x:c r="J61" s="23" t="str">
        <x:f>IF(OR(C61="",G61="",H61=""),"",LET(hs,XLOOKUP(C61,'Jogos_MataMata'!$A$2:$A$33,'Jogos_MataMata'!$O$2:$O$33,""),as,XLOOKUP(C61,'Jogos_MataMata'!$A$2:$A$33,'Jogos_MataMata'!$P$2:$P$33,""),win,XLOOKUP(C61,'Jogos_MataMata'!$A$2:$A$33,'Jogos_MataMata'!$Q$2:$Q$33,""),predWin,IF(G61&gt;H61,E61,IF(H61&gt;G61,F61,"")),IF(OR(hs="",as="",win=""),"",IF(predWin=win,IF(ABS(G61-H61)=ABS(hs-as),8,3),0))))</x:f>
      </x:c>
    </x:row>
    <x:row r="62">
      <x:c r="A62" s="21" t="str"/>
      <x:c r="B62" s="22" t="str"/>
      <x:c r="C62" s="22" t="str"/>
      <x:c r="D62" s="22" t="str">
        <x:f>IF(C62="","",XLOOKUP(C62,'Jogos_MataMata'!$A$2:$A$33,'Jogos_MataMata'!$B$2:$B$33,""))</x:f>
      </x:c>
      <x:c r="E62" s="22" t="str">
        <x:f>IF(C62="","",XLOOKUP(C62,'Jogos_MataMata'!$A$2:$A$33,'Jogos_MataMata'!$J$2:$J$33,""))</x:f>
      </x:c>
      <x:c r="F62" s="22" t="str">
        <x:f>IF(C62="","",XLOOKUP(C62,'Jogos_MataMata'!$A$2:$A$33,'Jogos_MataMata'!$K$2:$K$33,""))</x:f>
      </x:c>
      <x:c r="G62" s="22" t="str"/>
      <x:c r="H62" s="22" t="str"/>
      <x:c r="I62" s="22" t="str">
        <x:f>IF(AND(G62&lt;&gt;"",H62&lt;&gt;""),"SIM","NAO")</x:f>
        <x:v>NAO</x:v>
      </x:c>
      <x:c r="J62" s="23" t="str">
        <x:f>IF(OR(C62="",G62="",H62=""),"",LET(hs,XLOOKUP(C62,'Jogos_MataMata'!$A$2:$A$33,'Jogos_MataMata'!$O$2:$O$33,""),as,XLOOKUP(C62,'Jogos_MataMata'!$A$2:$A$33,'Jogos_MataMata'!$P$2:$P$33,""),win,XLOOKUP(C62,'Jogos_MataMata'!$A$2:$A$33,'Jogos_MataMata'!$Q$2:$Q$33,""),predWin,IF(G62&gt;H62,E62,IF(H62&gt;G62,F62,"")),IF(OR(hs="",as="",win=""),"",IF(predWin=win,IF(ABS(G62-H62)=ABS(hs-as),8,3),0))))</x:f>
      </x:c>
    </x:row>
    <x:row r="63">
      <x:c r="A63" s="21" t="str"/>
      <x:c r="B63" s="22" t="str"/>
      <x:c r="C63" s="22" t="str"/>
      <x:c r="D63" s="22" t="str">
        <x:f>IF(C63="","",XLOOKUP(C63,'Jogos_MataMata'!$A$2:$A$33,'Jogos_MataMata'!$B$2:$B$33,""))</x:f>
      </x:c>
      <x:c r="E63" s="22" t="str">
        <x:f>IF(C63="","",XLOOKUP(C63,'Jogos_MataMata'!$A$2:$A$33,'Jogos_MataMata'!$J$2:$J$33,""))</x:f>
      </x:c>
      <x:c r="F63" s="22" t="str">
        <x:f>IF(C63="","",XLOOKUP(C63,'Jogos_MataMata'!$A$2:$A$33,'Jogos_MataMata'!$K$2:$K$33,""))</x:f>
      </x:c>
      <x:c r="G63" s="22" t="str"/>
      <x:c r="H63" s="22" t="str"/>
      <x:c r="I63" s="22" t="str">
        <x:f>IF(AND(G63&lt;&gt;"",H63&lt;&gt;""),"SIM","NAO")</x:f>
        <x:v>NAO</x:v>
      </x:c>
      <x:c r="J63" s="23" t="str">
        <x:f>IF(OR(C63="",G63="",H63=""),"",LET(hs,XLOOKUP(C63,'Jogos_MataMata'!$A$2:$A$33,'Jogos_MataMata'!$O$2:$O$33,""),as,XLOOKUP(C63,'Jogos_MataMata'!$A$2:$A$33,'Jogos_MataMata'!$P$2:$P$33,""),win,XLOOKUP(C63,'Jogos_MataMata'!$A$2:$A$33,'Jogos_MataMata'!$Q$2:$Q$33,""),predWin,IF(G63&gt;H63,E63,IF(H63&gt;G63,F63,"")),IF(OR(hs="",as="",win=""),"",IF(predWin=win,IF(ABS(G63-H63)=ABS(hs-as),8,3),0))))</x:f>
      </x:c>
    </x:row>
    <x:row r="64">
      <x:c r="A64" s="21" t="str"/>
      <x:c r="B64" s="22" t="str"/>
      <x:c r="C64" s="22" t="str"/>
      <x:c r="D64" s="22" t="str">
        <x:f>IF(C64="","",XLOOKUP(C64,'Jogos_MataMata'!$A$2:$A$33,'Jogos_MataMata'!$B$2:$B$33,""))</x:f>
      </x:c>
      <x:c r="E64" s="22" t="str">
        <x:f>IF(C64="","",XLOOKUP(C64,'Jogos_MataMata'!$A$2:$A$33,'Jogos_MataMata'!$J$2:$J$33,""))</x:f>
      </x:c>
      <x:c r="F64" s="22" t="str">
        <x:f>IF(C64="","",XLOOKUP(C64,'Jogos_MataMata'!$A$2:$A$33,'Jogos_MataMata'!$K$2:$K$33,""))</x:f>
      </x:c>
      <x:c r="G64" s="22" t="str"/>
      <x:c r="H64" s="22" t="str"/>
      <x:c r="I64" s="22" t="str">
        <x:f>IF(AND(G64&lt;&gt;"",H64&lt;&gt;""),"SIM","NAO")</x:f>
        <x:v>NAO</x:v>
      </x:c>
      <x:c r="J64" s="23" t="str">
        <x:f>IF(OR(C64="",G64="",H64=""),"",LET(hs,XLOOKUP(C64,'Jogos_MataMata'!$A$2:$A$33,'Jogos_MataMata'!$O$2:$O$33,""),as,XLOOKUP(C64,'Jogos_MataMata'!$A$2:$A$33,'Jogos_MataMata'!$P$2:$P$33,""),win,XLOOKUP(C64,'Jogos_MataMata'!$A$2:$A$33,'Jogos_MataMata'!$Q$2:$Q$33,""),predWin,IF(G64&gt;H64,E64,IF(H64&gt;G64,F64,"")),IF(OR(hs="",as="",win=""),"",IF(predWin=win,IF(ABS(G64-H64)=ABS(hs-as),8,3),0))))</x:f>
      </x:c>
    </x:row>
    <x:row r="65">
      <x:c r="A65" s="21" t="str"/>
      <x:c r="B65" s="22" t="str"/>
      <x:c r="C65" s="22" t="str"/>
      <x:c r="D65" s="22" t="str">
        <x:f>IF(C65="","",XLOOKUP(C65,'Jogos_MataMata'!$A$2:$A$33,'Jogos_MataMata'!$B$2:$B$33,""))</x:f>
      </x:c>
      <x:c r="E65" s="22" t="str">
        <x:f>IF(C65="","",XLOOKUP(C65,'Jogos_MataMata'!$A$2:$A$33,'Jogos_MataMata'!$J$2:$J$33,""))</x:f>
      </x:c>
      <x:c r="F65" s="22" t="str">
        <x:f>IF(C65="","",XLOOKUP(C65,'Jogos_MataMata'!$A$2:$A$33,'Jogos_MataMata'!$K$2:$K$33,""))</x:f>
      </x:c>
      <x:c r="G65" s="22" t="str"/>
      <x:c r="H65" s="22" t="str"/>
      <x:c r="I65" s="22" t="str">
        <x:f>IF(AND(G65&lt;&gt;"",H65&lt;&gt;""),"SIM","NAO")</x:f>
        <x:v>NAO</x:v>
      </x:c>
      <x:c r="J65" s="23" t="str">
        <x:f>IF(OR(C65="",G65="",H65=""),"",LET(hs,XLOOKUP(C65,'Jogos_MataMata'!$A$2:$A$33,'Jogos_MataMata'!$O$2:$O$33,""),as,XLOOKUP(C65,'Jogos_MataMata'!$A$2:$A$33,'Jogos_MataMata'!$P$2:$P$33,""),win,XLOOKUP(C65,'Jogos_MataMata'!$A$2:$A$33,'Jogos_MataMata'!$Q$2:$Q$33,""),predWin,IF(G65&gt;H65,E65,IF(H65&gt;G65,F65,"")),IF(OR(hs="",as="",win=""),"",IF(predWin=win,IF(ABS(G65-H65)=ABS(hs-as),8,3),0))))</x:f>
      </x:c>
    </x:row>
    <x:row r="66">
      <x:c r="A66" s="21" t="str"/>
      <x:c r="B66" s="22" t="str"/>
      <x:c r="C66" s="22" t="str"/>
      <x:c r="D66" s="22" t="str">
        <x:f>IF(C66="","",XLOOKUP(C66,'Jogos_MataMata'!$A$2:$A$33,'Jogos_MataMata'!$B$2:$B$33,""))</x:f>
      </x:c>
      <x:c r="E66" s="22" t="str">
        <x:f>IF(C66="","",XLOOKUP(C66,'Jogos_MataMata'!$A$2:$A$33,'Jogos_MataMata'!$J$2:$J$33,""))</x:f>
      </x:c>
      <x:c r="F66" s="22" t="str">
        <x:f>IF(C66="","",XLOOKUP(C66,'Jogos_MataMata'!$A$2:$A$33,'Jogos_MataMata'!$K$2:$K$33,""))</x:f>
      </x:c>
      <x:c r="G66" s="22" t="str"/>
      <x:c r="H66" s="22" t="str"/>
      <x:c r="I66" s="22" t="str">
        <x:f>IF(AND(G66&lt;&gt;"",H66&lt;&gt;""),"SIM","NAO")</x:f>
        <x:v>NAO</x:v>
      </x:c>
      <x:c r="J66" s="23" t="str">
        <x:f>IF(OR(C66="",G66="",H66=""),"",LET(hs,XLOOKUP(C66,'Jogos_MataMata'!$A$2:$A$33,'Jogos_MataMata'!$O$2:$O$33,""),as,XLOOKUP(C66,'Jogos_MataMata'!$A$2:$A$33,'Jogos_MataMata'!$P$2:$P$33,""),win,XLOOKUP(C66,'Jogos_MataMata'!$A$2:$A$33,'Jogos_MataMata'!$Q$2:$Q$33,""),predWin,IF(G66&gt;H66,E66,IF(H66&gt;G66,F66,"")),IF(OR(hs="",as="",win=""),"",IF(predWin=win,IF(ABS(G66-H66)=ABS(hs-as),8,3),0))))</x:f>
      </x:c>
    </x:row>
    <x:row r="67">
      <x:c r="A67" s="21" t="str"/>
      <x:c r="B67" s="22" t="str"/>
      <x:c r="C67" s="22" t="str"/>
      <x:c r="D67" s="22" t="str">
        <x:f>IF(C67="","",XLOOKUP(C67,'Jogos_MataMata'!$A$2:$A$33,'Jogos_MataMata'!$B$2:$B$33,""))</x:f>
      </x:c>
      <x:c r="E67" s="22" t="str">
        <x:f>IF(C67="","",XLOOKUP(C67,'Jogos_MataMata'!$A$2:$A$33,'Jogos_MataMata'!$J$2:$J$33,""))</x:f>
      </x:c>
      <x:c r="F67" s="22" t="str">
        <x:f>IF(C67="","",XLOOKUP(C67,'Jogos_MataMata'!$A$2:$A$33,'Jogos_MataMata'!$K$2:$K$33,""))</x:f>
      </x:c>
      <x:c r="G67" s="22" t="str"/>
      <x:c r="H67" s="22" t="str"/>
      <x:c r="I67" s="22" t="str">
        <x:f>IF(AND(G67&lt;&gt;"",H67&lt;&gt;""),"SIM","NAO")</x:f>
        <x:v>NAO</x:v>
      </x:c>
      <x:c r="J67" s="23" t="str">
        <x:f>IF(OR(C67="",G67="",H67=""),"",LET(hs,XLOOKUP(C67,'Jogos_MataMata'!$A$2:$A$33,'Jogos_MataMata'!$O$2:$O$33,""),as,XLOOKUP(C67,'Jogos_MataMata'!$A$2:$A$33,'Jogos_MataMata'!$P$2:$P$33,""),win,XLOOKUP(C67,'Jogos_MataMata'!$A$2:$A$33,'Jogos_MataMata'!$Q$2:$Q$33,""),predWin,IF(G67&gt;H67,E67,IF(H67&gt;G67,F67,"")),IF(OR(hs="",as="",win=""),"",IF(predWin=win,IF(ABS(G67-H67)=ABS(hs-as),8,3),0))))</x:f>
      </x:c>
    </x:row>
    <x:row r="68">
      <x:c r="A68" s="21" t="str"/>
      <x:c r="B68" s="22" t="str"/>
      <x:c r="C68" s="22" t="str"/>
      <x:c r="D68" s="22" t="str">
        <x:f>IF(C68="","",XLOOKUP(C68,'Jogos_MataMata'!$A$2:$A$33,'Jogos_MataMata'!$B$2:$B$33,""))</x:f>
      </x:c>
      <x:c r="E68" s="22" t="str">
        <x:f>IF(C68="","",XLOOKUP(C68,'Jogos_MataMata'!$A$2:$A$33,'Jogos_MataMata'!$J$2:$J$33,""))</x:f>
      </x:c>
      <x:c r="F68" s="22" t="str">
        <x:f>IF(C68="","",XLOOKUP(C68,'Jogos_MataMata'!$A$2:$A$33,'Jogos_MataMata'!$K$2:$K$33,""))</x:f>
      </x:c>
      <x:c r="G68" s="22" t="str"/>
      <x:c r="H68" s="22" t="str"/>
      <x:c r="I68" s="22" t="str">
        <x:f>IF(AND(G68&lt;&gt;"",H68&lt;&gt;""),"SIM","NAO")</x:f>
        <x:v>NAO</x:v>
      </x:c>
      <x:c r="J68" s="23" t="str">
        <x:f>IF(OR(C68="",G68="",H68=""),"",LET(hs,XLOOKUP(C68,'Jogos_MataMata'!$A$2:$A$33,'Jogos_MataMata'!$O$2:$O$33,""),as,XLOOKUP(C68,'Jogos_MataMata'!$A$2:$A$33,'Jogos_MataMata'!$P$2:$P$33,""),win,XLOOKUP(C68,'Jogos_MataMata'!$A$2:$A$33,'Jogos_MataMata'!$Q$2:$Q$33,""),predWin,IF(G68&gt;H68,E68,IF(H68&gt;G68,F68,"")),IF(OR(hs="",as="",win=""),"",IF(predWin=win,IF(ABS(G68-H68)=ABS(hs-as),8,3),0))))</x:f>
      </x:c>
    </x:row>
    <x:row r="69">
      <x:c r="A69" s="21" t="str"/>
      <x:c r="B69" s="22" t="str"/>
      <x:c r="C69" s="22" t="str"/>
      <x:c r="D69" s="22" t="str">
        <x:f>IF(C69="","",XLOOKUP(C69,'Jogos_MataMata'!$A$2:$A$33,'Jogos_MataMata'!$B$2:$B$33,""))</x:f>
      </x:c>
      <x:c r="E69" s="22" t="str">
        <x:f>IF(C69="","",XLOOKUP(C69,'Jogos_MataMata'!$A$2:$A$33,'Jogos_MataMata'!$J$2:$J$33,""))</x:f>
      </x:c>
      <x:c r="F69" s="22" t="str">
        <x:f>IF(C69="","",XLOOKUP(C69,'Jogos_MataMata'!$A$2:$A$33,'Jogos_MataMata'!$K$2:$K$33,""))</x:f>
      </x:c>
      <x:c r="G69" s="22" t="str"/>
      <x:c r="H69" s="22" t="str"/>
      <x:c r="I69" s="22" t="str">
        <x:f>IF(AND(G69&lt;&gt;"",H69&lt;&gt;""),"SIM","NAO")</x:f>
        <x:v>NAO</x:v>
      </x:c>
      <x:c r="J69" s="23" t="str">
        <x:f>IF(OR(C69="",G69="",H69=""),"",LET(hs,XLOOKUP(C69,'Jogos_MataMata'!$A$2:$A$33,'Jogos_MataMata'!$O$2:$O$33,""),as,XLOOKUP(C69,'Jogos_MataMata'!$A$2:$A$33,'Jogos_MataMata'!$P$2:$P$33,""),win,XLOOKUP(C69,'Jogos_MataMata'!$A$2:$A$33,'Jogos_MataMata'!$Q$2:$Q$33,""),predWin,IF(G69&gt;H69,E69,IF(H69&gt;G69,F69,"")),IF(OR(hs="",as="",win=""),"",IF(predWin=win,IF(ABS(G69-H69)=ABS(hs-as),8,3),0))))</x:f>
      </x:c>
    </x:row>
    <x:row r="70">
      <x:c r="A70" s="21" t="str"/>
      <x:c r="B70" s="22" t="str"/>
      <x:c r="C70" s="22" t="str"/>
      <x:c r="D70" s="22" t="str">
        <x:f>IF(C70="","",XLOOKUP(C70,'Jogos_MataMata'!$A$2:$A$33,'Jogos_MataMata'!$B$2:$B$33,""))</x:f>
      </x:c>
      <x:c r="E70" s="22" t="str">
        <x:f>IF(C70="","",XLOOKUP(C70,'Jogos_MataMata'!$A$2:$A$33,'Jogos_MataMata'!$J$2:$J$33,""))</x:f>
      </x:c>
      <x:c r="F70" s="22" t="str">
        <x:f>IF(C70="","",XLOOKUP(C70,'Jogos_MataMata'!$A$2:$A$33,'Jogos_MataMata'!$K$2:$K$33,""))</x:f>
      </x:c>
      <x:c r="G70" s="22" t="str"/>
      <x:c r="H70" s="22" t="str"/>
      <x:c r="I70" s="22" t="str">
        <x:f>IF(AND(G70&lt;&gt;"",H70&lt;&gt;""),"SIM","NAO")</x:f>
        <x:v>NAO</x:v>
      </x:c>
      <x:c r="J70" s="23" t="str">
        <x:f>IF(OR(C70="",G70="",H70=""),"",LET(hs,XLOOKUP(C70,'Jogos_MataMata'!$A$2:$A$33,'Jogos_MataMata'!$O$2:$O$33,""),as,XLOOKUP(C70,'Jogos_MataMata'!$A$2:$A$33,'Jogos_MataMata'!$P$2:$P$33,""),win,XLOOKUP(C70,'Jogos_MataMata'!$A$2:$A$33,'Jogos_MataMata'!$Q$2:$Q$33,""),predWin,IF(G70&gt;H70,E70,IF(H70&gt;G70,F70,"")),IF(OR(hs="",as="",win=""),"",IF(predWin=win,IF(ABS(G70-H70)=ABS(hs-as),8,3),0))))</x:f>
      </x:c>
    </x:row>
    <x:row r="71">
      <x:c r="A71" s="21" t="str"/>
      <x:c r="B71" s="22" t="str"/>
      <x:c r="C71" s="22" t="str"/>
      <x:c r="D71" s="22" t="str">
        <x:f>IF(C71="","",XLOOKUP(C71,'Jogos_MataMata'!$A$2:$A$33,'Jogos_MataMata'!$B$2:$B$33,""))</x:f>
      </x:c>
      <x:c r="E71" s="22" t="str">
        <x:f>IF(C71="","",XLOOKUP(C71,'Jogos_MataMata'!$A$2:$A$33,'Jogos_MataMata'!$J$2:$J$33,""))</x:f>
      </x:c>
      <x:c r="F71" s="22" t="str">
        <x:f>IF(C71="","",XLOOKUP(C71,'Jogos_MataMata'!$A$2:$A$33,'Jogos_MataMata'!$K$2:$K$33,""))</x:f>
      </x:c>
      <x:c r="G71" s="22" t="str"/>
      <x:c r="H71" s="22" t="str"/>
      <x:c r="I71" s="22" t="str">
        <x:f>IF(AND(G71&lt;&gt;"",H71&lt;&gt;""),"SIM","NAO")</x:f>
        <x:v>NAO</x:v>
      </x:c>
      <x:c r="J71" s="23" t="str">
        <x:f>IF(OR(C71="",G71="",H71=""),"",LET(hs,XLOOKUP(C71,'Jogos_MataMata'!$A$2:$A$33,'Jogos_MataMata'!$O$2:$O$33,""),as,XLOOKUP(C71,'Jogos_MataMata'!$A$2:$A$33,'Jogos_MataMata'!$P$2:$P$33,""),win,XLOOKUP(C71,'Jogos_MataMata'!$A$2:$A$33,'Jogos_MataMata'!$Q$2:$Q$33,""),predWin,IF(G71&gt;H71,E71,IF(H71&gt;G71,F71,"")),IF(OR(hs="",as="",win=""),"",IF(predWin=win,IF(ABS(G71-H71)=ABS(hs-as),8,3),0))))</x:f>
      </x:c>
    </x:row>
    <x:row r="72">
      <x:c r="A72" s="21" t="str"/>
      <x:c r="B72" s="22" t="str"/>
      <x:c r="C72" s="22" t="str"/>
      <x:c r="D72" s="22" t="str">
        <x:f>IF(C72="","",XLOOKUP(C72,'Jogos_MataMata'!$A$2:$A$33,'Jogos_MataMata'!$B$2:$B$33,""))</x:f>
      </x:c>
      <x:c r="E72" s="22" t="str">
        <x:f>IF(C72="","",XLOOKUP(C72,'Jogos_MataMata'!$A$2:$A$33,'Jogos_MataMata'!$J$2:$J$33,""))</x:f>
      </x:c>
      <x:c r="F72" s="22" t="str">
        <x:f>IF(C72="","",XLOOKUP(C72,'Jogos_MataMata'!$A$2:$A$33,'Jogos_MataMata'!$K$2:$K$33,""))</x:f>
      </x:c>
      <x:c r="G72" s="22" t="str"/>
      <x:c r="H72" s="22" t="str"/>
      <x:c r="I72" s="22" t="str">
        <x:f>IF(AND(G72&lt;&gt;"",H72&lt;&gt;""),"SIM","NAO")</x:f>
        <x:v>NAO</x:v>
      </x:c>
      <x:c r="J72" s="23" t="str">
        <x:f>IF(OR(C72="",G72="",H72=""),"",LET(hs,XLOOKUP(C72,'Jogos_MataMata'!$A$2:$A$33,'Jogos_MataMata'!$O$2:$O$33,""),as,XLOOKUP(C72,'Jogos_MataMata'!$A$2:$A$33,'Jogos_MataMata'!$P$2:$P$33,""),win,XLOOKUP(C72,'Jogos_MataMata'!$A$2:$A$33,'Jogos_MataMata'!$Q$2:$Q$33,""),predWin,IF(G72&gt;H72,E72,IF(H72&gt;G72,F72,"")),IF(OR(hs="",as="",win=""),"",IF(predWin=win,IF(ABS(G72-H72)=ABS(hs-as),8,3),0))))</x:f>
      </x:c>
    </x:row>
    <x:row r="73">
      <x:c r="A73" s="21" t="str"/>
      <x:c r="B73" s="22" t="str"/>
      <x:c r="C73" s="22" t="str"/>
      <x:c r="D73" s="22" t="str">
        <x:f>IF(C73="","",XLOOKUP(C73,'Jogos_MataMata'!$A$2:$A$33,'Jogos_MataMata'!$B$2:$B$33,""))</x:f>
      </x:c>
      <x:c r="E73" s="22" t="str">
        <x:f>IF(C73="","",XLOOKUP(C73,'Jogos_MataMata'!$A$2:$A$33,'Jogos_MataMata'!$J$2:$J$33,""))</x:f>
      </x:c>
      <x:c r="F73" s="22" t="str">
        <x:f>IF(C73="","",XLOOKUP(C73,'Jogos_MataMata'!$A$2:$A$33,'Jogos_MataMata'!$K$2:$K$33,""))</x:f>
      </x:c>
      <x:c r="G73" s="22" t="str"/>
      <x:c r="H73" s="22" t="str"/>
      <x:c r="I73" s="22" t="str">
        <x:f>IF(AND(G73&lt;&gt;"",H73&lt;&gt;""),"SIM","NAO")</x:f>
        <x:v>NAO</x:v>
      </x:c>
      <x:c r="J73" s="23" t="str">
        <x:f>IF(OR(C73="",G73="",H73=""),"",LET(hs,XLOOKUP(C73,'Jogos_MataMata'!$A$2:$A$33,'Jogos_MataMata'!$O$2:$O$33,""),as,XLOOKUP(C73,'Jogos_MataMata'!$A$2:$A$33,'Jogos_MataMata'!$P$2:$P$33,""),win,XLOOKUP(C73,'Jogos_MataMata'!$A$2:$A$33,'Jogos_MataMata'!$Q$2:$Q$33,""),predWin,IF(G73&gt;H73,E73,IF(H73&gt;G73,F73,"")),IF(OR(hs="",as="",win=""),"",IF(predWin=win,IF(ABS(G73-H73)=ABS(hs-as),8,3),0))))</x:f>
      </x:c>
    </x:row>
    <x:row r="74">
      <x:c r="A74" s="21" t="str"/>
      <x:c r="B74" s="22" t="str"/>
      <x:c r="C74" s="22" t="str"/>
      <x:c r="D74" s="22" t="str">
        <x:f>IF(C74="","",XLOOKUP(C74,'Jogos_MataMata'!$A$2:$A$33,'Jogos_MataMata'!$B$2:$B$33,""))</x:f>
      </x:c>
      <x:c r="E74" s="22" t="str">
        <x:f>IF(C74="","",XLOOKUP(C74,'Jogos_MataMata'!$A$2:$A$33,'Jogos_MataMata'!$J$2:$J$33,""))</x:f>
      </x:c>
      <x:c r="F74" s="22" t="str">
        <x:f>IF(C74="","",XLOOKUP(C74,'Jogos_MataMata'!$A$2:$A$33,'Jogos_MataMata'!$K$2:$K$33,""))</x:f>
      </x:c>
      <x:c r="G74" s="22" t="str"/>
      <x:c r="H74" s="22" t="str"/>
      <x:c r="I74" s="22" t="str">
        <x:f>IF(AND(G74&lt;&gt;"",H74&lt;&gt;""),"SIM","NAO")</x:f>
        <x:v>NAO</x:v>
      </x:c>
      <x:c r="J74" s="23" t="str">
        <x:f>IF(OR(C74="",G74="",H74=""),"",LET(hs,XLOOKUP(C74,'Jogos_MataMata'!$A$2:$A$33,'Jogos_MataMata'!$O$2:$O$33,""),as,XLOOKUP(C74,'Jogos_MataMata'!$A$2:$A$33,'Jogos_MataMata'!$P$2:$P$33,""),win,XLOOKUP(C74,'Jogos_MataMata'!$A$2:$A$33,'Jogos_MataMata'!$Q$2:$Q$33,""),predWin,IF(G74&gt;H74,E74,IF(H74&gt;G74,F74,"")),IF(OR(hs="",as="",win=""),"",IF(predWin=win,IF(ABS(G74-H74)=ABS(hs-as),8,3),0))))</x:f>
      </x:c>
    </x:row>
    <x:row r="75">
      <x:c r="A75" s="21" t="str"/>
      <x:c r="B75" s="22" t="str"/>
      <x:c r="C75" s="22" t="str"/>
      <x:c r="D75" s="22" t="str">
        <x:f>IF(C75="","",XLOOKUP(C75,'Jogos_MataMata'!$A$2:$A$33,'Jogos_MataMata'!$B$2:$B$33,""))</x:f>
      </x:c>
      <x:c r="E75" s="22" t="str">
        <x:f>IF(C75="","",XLOOKUP(C75,'Jogos_MataMata'!$A$2:$A$33,'Jogos_MataMata'!$J$2:$J$33,""))</x:f>
      </x:c>
      <x:c r="F75" s="22" t="str">
        <x:f>IF(C75="","",XLOOKUP(C75,'Jogos_MataMata'!$A$2:$A$33,'Jogos_MataMata'!$K$2:$K$33,""))</x:f>
      </x:c>
      <x:c r="G75" s="22" t="str"/>
      <x:c r="H75" s="22" t="str"/>
      <x:c r="I75" s="22" t="str">
        <x:f>IF(AND(G75&lt;&gt;"",H75&lt;&gt;""),"SIM","NAO")</x:f>
        <x:v>NAO</x:v>
      </x:c>
      <x:c r="J75" s="23" t="str">
        <x:f>IF(OR(C75="",G75="",H75=""),"",LET(hs,XLOOKUP(C75,'Jogos_MataMata'!$A$2:$A$33,'Jogos_MataMata'!$O$2:$O$33,""),as,XLOOKUP(C75,'Jogos_MataMata'!$A$2:$A$33,'Jogos_MataMata'!$P$2:$P$33,""),win,XLOOKUP(C75,'Jogos_MataMata'!$A$2:$A$33,'Jogos_MataMata'!$Q$2:$Q$33,""),predWin,IF(G75&gt;H75,E75,IF(H75&gt;G75,F75,"")),IF(OR(hs="",as="",win=""),"",IF(predWin=win,IF(ABS(G75-H75)=ABS(hs-as),8,3),0))))</x:f>
      </x:c>
    </x:row>
    <x:row r="76">
      <x:c r="A76" s="21" t="str"/>
      <x:c r="B76" s="22" t="str"/>
      <x:c r="C76" s="22" t="str"/>
      <x:c r="D76" s="22" t="str">
        <x:f>IF(C76="","",XLOOKUP(C76,'Jogos_MataMata'!$A$2:$A$33,'Jogos_MataMata'!$B$2:$B$33,""))</x:f>
      </x:c>
      <x:c r="E76" s="22" t="str">
        <x:f>IF(C76="","",XLOOKUP(C76,'Jogos_MataMata'!$A$2:$A$33,'Jogos_MataMata'!$J$2:$J$33,""))</x:f>
      </x:c>
      <x:c r="F76" s="22" t="str">
        <x:f>IF(C76="","",XLOOKUP(C76,'Jogos_MataMata'!$A$2:$A$33,'Jogos_MataMata'!$K$2:$K$33,""))</x:f>
      </x:c>
      <x:c r="G76" s="22" t="str"/>
      <x:c r="H76" s="22" t="str"/>
      <x:c r="I76" s="22" t="str">
        <x:f>IF(AND(G76&lt;&gt;"",H76&lt;&gt;""),"SIM","NAO")</x:f>
        <x:v>NAO</x:v>
      </x:c>
      <x:c r="J76" s="23" t="str">
        <x:f>IF(OR(C76="",G76="",H76=""),"",LET(hs,XLOOKUP(C76,'Jogos_MataMata'!$A$2:$A$33,'Jogos_MataMata'!$O$2:$O$33,""),as,XLOOKUP(C76,'Jogos_MataMata'!$A$2:$A$33,'Jogos_MataMata'!$P$2:$P$33,""),win,XLOOKUP(C76,'Jogos_MataMata'!$A$2:$A$33,'Jogos_MataMata'!$Q$2:$Q$33,""),predWin,IF(G76&gt;H76,E76,IF(H76&gt;G76,F76,"")),IF(OR(hs="",as="",win=""),"",IF(predWin=win,IF(ABS(G76-H76)=ABS(hs-as),8,3),0))))</x:f>
      </x:c>
    </x:row>
    <x:row r="77">
      <x:c r="A77" s="21" t="str"/>
      <x:c r="B77" s="22" t="str"/>
      <x:c r="C77" s="22" t="str"/>
      <x:c r="D77" s="22" t="str">
        <x:f>IF(C77="","",XLOOKUP(C77,'Jogos_MataMata'!$A$2:$A$33,'Jogos_MataMata'!$B$2:$B$33,""))</x:f>
      </x:c>
      <x:c r="E77" s="22" t="str">
        <x:f>IF(C77="","",XLOOKUP(C77,'Jogos_MataMata'!$A$2:$A$33,'Jogos_MataMata'!$J$2:$J$33,""))</x:f>
      </x:c>
      <x:c r="F77" s="22" t="str">
        <x:f>IF(C77="","",XLOOKUP(C77,'Jogos_MataMata'!$A$2:$A$33,'Jogos_MataMata'!$K$2:$K$33,""))</x:f>
      </x:c>
      <x:c r="G77" s="22" t="str"/>
      <x:c r="H77" s="22" t="str"/>
      <x:c r="I77" s="22" t="str">
        <x:f>IF(AND(G77&lt;&gt;"",H77&lt;&gt;""),"SIM","NAO")</x:f>
        <x:v>NAO</x:v>
      </x:c>
      <x:c r="J77" s="23" t="str">
        <x:f>IF(OR(C77="",G77="",H77=""),"",LET(hs,XLOOKUP(C77,'Jogos_MataMata'!$A$2:$A$33,'Jogos_MataMata'!$O$2:$O$33,""),as,XLOOKUP(C77,'Jogos_MataMata'!$A$2:$A$33,'Jogos_MataMata'!$P$2:$P$33,""),win,XLOOKUP(C77,'Jogos_MataMata'!$A$2:$A$33,'Jogos_MataMata'!$Q$2:$Q$33,""),predWin,IF(G77&gt;H77,E77,IF(H77&gt;G77,F77,"")),IF(OR(hs="",as="",win=""),"",IF(predWin=win,IF(ABS(G77-H77)=ABS(hs-as),8,3),0))))</x:f>
      </x:c>
    </x:row>
    <x:row r="78">
      <x:c r="A78" s="21" t="str"/>
      <x:c r="B78" s="22" t="str"/>
      <x:c r="C78" s="22" t="str"/>
      <x:c r="D78" s="22" t="str">
        <x:f>IF(C78="","",XLOOKUP(C78,'Jogos_MataMata'!$A$2:$A$33,'Jogos_MataMata'!$B$2:$B$33,""))</x:f>
      </x:c>
      <x:c r="E78" s="22" t="str">
        <x:f>IF(C78="","",XLOOKUP(C78,'Jogos_MataMata'!$A$2:$A$33,'Jogos_MataMata'!$J$2:$J$33,""))</x:f>
      </x:c>
      <x:c r="F78" s="22" t="str">
        <x:f>IF(C78="","",XLOOKUP(C78,'Jogos_MataMata'!$A$2:$A$33,'Jogos_MataMata'!$K$2:$K$33,""))</x:f>
      </x:c>
      <x:c r="G78" s="22" t="str"/>
      <x:c r="H78" s="22" t="str"/>
      <x:c r="I78" s="22" t="str">
        <x:f>IF(AND(G78&lt;&gt;"",H78&lt;&gt;""),"SIM","NAO")</x:f>
        <x:v>NAO</x:v>
      </x:c>
      <x:c r="J78" s="23" t="str">
        <x:f>IF(OR(C78="",G78="",H78=""),"",LET(hs,XLOOKUP(C78,'Jogos_MataMata'!$A$2:$A$33,'Jogos_MataMata'!$O$2:$O$33,""),as,XLOOKUP(C78,'Jogos_MataMata'!$A$2:$A$33,'Jogos_MataMata'!$P$2:$P$33,""),win,XLOOKUP(C78,'Jogos_MataMata'!$A$2:$A$33,'Jogos_MataMata'!$Q$2:$Q$33,""),predWin,IF(G78&gt;H78,E78,IF(H78&gt;G78,F78,"")),IF(OR(hs="",as="",win=""),"",IF(predWin=win,IF(ABS(G78-H78)=ABS(hs-as),8,3),0))))</x:f>
      </x:c>
    </x:row>
    <x:row r="79">
      <x:c r="A79" s="21" t="str"/>
      <x:c r="B79" s="22" t="str"/>
      <x:c r="C79" s="22" t="str"/>
      <x:c r="D79" s="22" t="str">
        <x:f>IF(C79="","",XLOOKUP(C79,'Jogos_MataMata'!$A$2:$A$33,'Jogos_MataMata'!$B$2:$B$33,""))</x:f>
      </x:c>
      <x:c r="E79" s="22" t="str">
        <x:f>IF(C79="","",XLOOKUP(C79,'Jogos_MataMata'!$A$2:$A$33,'Jogos_MataMata'!$J$2:$J$33,""))</x:f>
      </x:c>
      <x:c r="F79" s="22" t="str">
        <x:f>IF(C79="","",XLOOKUP(C79,'Jogos_MataMata'!$A$2:$A$33,'Jogos_MataMata'!$K$2:$K$33,""))</x:f>
      </x:c>
      <x:c r="G79" s="22" t="str"/>
      <x:c r="H79" s="22" t="str"/>
      <x:c r="I79" s="22" t="str">
        <x:f>IF(AND(G79&lt;&gt;"",H79&lt;&gt;""),"SIM","NAO")</x:f>
        <x:v>NAO</x:v>
      </x:c>
      <x:c r="J79" s="23" t="str">
        <x:f>IF(OR(C79="",G79="",H79=""),"",LET(hs,XLOOKUP(C79,'Jogos_MataMata'!$A$2:$A$33,'Jogos_MataMata'!$O$2:$O$33,""),as,XLOOKUP(C79,'Jogos_MataMata'!$A$2:$A$33,'Jogos_MataMata'!$P$2:$P$33,""),win,XLOOKUP(C79,'Jogos_MataMata'!$A$2:$A$33,'Jogos_MataMata'!$Q$2:$Q$33,""),predWin,IF(G79&gt;H79,E79,IF(H79&gt;G79,F79,"")),IF(OR(hs="",as="",win=""),"",IF(predWin=win,IF(ABS(G79-H79)=ABS(hs-as),8,3),0))))</x:f>
      </x:c>
    </x:row>
    <x:row r="80">
      <x:c r="A80" s="21" t="str"/>
      <x:c r="B80" s="22" t="str"/>
      <x:c r="C80" s="22" t="str"/>
      <x:c r="D80" s="22" t="str">
        <x:f>IF(C80="","",XLOOKUP(C80,'Jogos_MataMata'!$A$2:$A$33,'Jogos_MataMata'!$B$2:$B$33,""))</x:f>
      </x:c>
      <x:c r="E80" s="22" t="str">
        <x:f>IF(C80="","",XLOOKUP(C80,'Jogos_MataMata'!$A$2:$A$33,'Jogos_MataMata'!$J$2:$J$33,""))</x:f>
      </x:c>
      <x:c r="F80" s="22" t="str">
        <x:f>IF(C80="","",XLOOKUP(C80,'Jogos_MataMata'!$A$2:$A$33,'Jogos_MataMata'!$K$2:$K$33,""))</x:f>
      </x:c>
      <x:c r="G80" s="22" t="str"/>
      <x:c r="H80" s="22" t="str"/>
      <x:c r="I80" s="22" t="str">
        <x:f>IF(AND(G80&lt;&gt;"",H80&lt;&gt;""),"SIM","NAO")</x:f>
        <x:v>NAO</x:v>
      </x:c>
      <x:c r="J80" s="23" t="str">
        <x:f>IF(OR(C80="",G80="",H80=""),"",LET(hs,XLOOKUP(C80,'Jogos_MataMata'!$A$2:$A$33,'Jogos_MataMata'!$O$2:$O$33,""),as,XLOOKUP(C80,'Jogos_MataMata'!$A$2:$A$33,'Jogos_MataMata'!$P$2:$P$33,""),win,XLOOKUP(C80,'Jogos_MataMata'!$A$2:$A$33,'Jogos_MataMata'!$Q$2:$Q$33,""),predWin,IF(G80&gt;H80,E80,IF(H80&gt;G80,F80,"")),IF(OR(hs="",as="",win=""),"",IF(predWin=win,IF(ABS(G80-H80)=ABS(hs-as),8,3),0))))</x:f>
      </x:c>
    </x:row>
    <x:row r="81">
      <x:c r="A81" s="21" t="str"/>
      <x:c r="B81" s="22" t="str"/>
      <x:c r="C81" s="22" t="str"/>
      <x:c r="D81" s="22" t="str">
        <x:f>IF(C81="","",XLOOKUP(C81,'Jogos_MataMata'!$A$2:$A$33,'Jogos_MataMata'!$B$2:$B$33,""))</x:f>
      </x:c>
      <x:c r="E81" s="22" t="str">
        <x:f>IF(C81="","",XLOOKUP(C81,'Jogos_MataMata'!$A$2:$A$33,'Jogos_MataMata'!$J$2:$J$33,""))</x:f>
      </x:c>
      <x:c r="F81" s="22" t="str">
        <x:f>IF(C81="","",XLOOKUP(C81,'Jogos_MataMata'!$A$2:$A$33,'Jogos_MataMata'!$K$2:$K$33,""))</x:f>
      </x:c>
      <x:c r="G81" s="22" t="str"/>
      <x:c r="H81" s="22" t="str"/>
      <x:c r="I81" s="22" t="str">
        <x:f>IF(AND(G81&lt;&gt;"",H81&lt;&gt;""),"SIM","NAO")</x:f>
        <x:v>NAO</x:v>
      </x:c>
      <x:c r="J81" s="23" t="str">
        <x:f>IF(OR(C81="",G81="",H81=""),"",LET(hs,XLOOKUP(C81,'Jogos_MataMata'!$A$2:$A$33,'Jogos_MataMata'!$O$2:$O$33,""),as,XLOOKUP(C81,'Jogos_MataMata'!$A$2:$A$33,'Jogos_MataMata'!$P$2:$P$33,""),win,XLOOKUP(C81,'Jogos_MataMata'!$A$2:$A$33,'Jogos_MataMata'!$Q$2:$Q$33,""),predWin,IF(G81&gt;H81,E81,IF(H81&gt;G81,F81,"")),IF(OR(hs="",as="",win=""),"",IF(predWin=win,IF(ABS(G81-H81)=ABS(hs-as),8,3),0))))</x:f>
      </x:c>
    </x:row>
    <x:row r="82">
      <x:c r="A82" s="21" t="str"/>
      <x:c r="B82" s="22" t="str"/>
      <x:c r="C82" s="22" t="str"/>
      <x:c r="D82" s="22" t="str">
        <x:f>IF(C82="","",XLOOKUP(C82,'Jogos_MataMata'!$A$2:$A$33,'Jogos_MataMata'!$B$2:$B$33,""))</x:f>
      </x:c>
      <x:c r="E82" s="22" t="str">
        <x:f>IF(C82="","",XLOOKUP(C82,'Jogos_MataMata'!$A$2:$A$33,'Jogos_MataMata'!$J$2:$J$33,""))</x:f>
      </x:c>
      <x:c r="F82" s="22" t="str">
        <x:f>IF(C82="","",XLOOKUP(C82,'Jogos_MataMata'!$A$2:$A$33,'Jogos_MataMata'!$K$2:$K$33,""))</x:f>
      </x:c>
      <x:c r="G82" s="22" t="str"/>
      <x:c r="H82" s="22" t="str"/>
      <x:c r="I82" s="22" t="str">
        <x:f>IF(AND(G82&lt;&gt;"",H82&lt;&gt;""),"SIM","NAO")</x:f>
        <x:v>NAO</x:v>
      </x:c>
      <x:c r="J82" s="23" t="str">
        <x:f>IF(OR(C82="",G82="",H82=""),"",LET(hs,XLOOKUP(C82,'Jogos_MataMata'!$A$2:$A$33,'Jogos_MataMata'!$O$2:$O$33,""),as,XLOOKUP(C82,'Jogos_MataMata'!$A$2:$A$33,'Jogos_MataMata'!$P$2:$P$33,""),win,XLOOKUP(C82,'Jogos_MataMata'!$A$2:$A$33,'Jogos_MataMata'!$Q$2:$Q$33,""),predWin,IF(G82&gt;H82,E82,IF(H82&gt;G82,F82,"")),IF(OR(hs="",as="",win=""),"",IF(predWin=win,IF(ABS(G82-H82)=ABS(hs-as),8,3),0))))</x:f>
      </x:c>
    </x:row>
    <x:row r="83">
      <x:c r="A83" s="21" t="str"/>
      <x:c r="B83" s="22" t="str"/>
      <x:c r="C83" s="22" t="str"/>
      <x:c r="D83" s="22" t="str">
        <x:f>IF(C83="","",XLOOKUP(C83,'Jogos_MataMata'!$A$2:$A$33,'Jogos_MataMata'!$B$2:$B$33,""))</x:f>
      </x:c>
      <x:c r="E83" s="22" t="str">
        <x:f>IF(C83="","",XLOOKUP(C83,'Jogos_MataMata'!$A$2:$A$33,'Jogos_MataMata'!$J$2:$J$33,""))</x:f>
      </x:c>
      <x:c r="F83" s="22" t="str">
        <x:f>IF(C83="","",XLOOKUP(C83,'Jogos_MataMata'!$A$2:$A$33,'Jogos_MataMata'!$K$2:$K$33,""))</x:f>
      </x:c>
      <x:c r="G83" s="22" t="str"/>
      <x:c r="H83" s="22" t="str"/>
      <x:c r="I83" s="22" t="str">
        <x:f>IF(AND(G83&lt;&gt;"",H83&lt;&gt;""),"SIM","NAO")</x:f>
        <x:v>NAO</x:v>
      </x:c>
      <x:c r="J83" s="23" t="str">
        <x:f>IF(OR(C83="",G83="",H83=""),"",LET(hs,XLOOKUP(C83,'Jogos_MataMata'!$A$2:$A$33,'Jogos_MataMata'!$O$2:$O$33,""),as,XLOOKUP(C83,'Jogos_MataMata'!$A$2:$A$33,'Jogos_MataMata'!$P$2:$P$33,""),win,XLOOKUP(C83,'Jogos_MataMata'!$A$2:$A$33,'Jogos_MataMata'!$Q$2:$Q$33,""),predWin,IF(G83&gt;H83,E83,IF(H83&gt;G83,F83,"")),IF(OR(hs="",as="",win=""),"",IF(predWin=win,IF(ABS(G83-H83)=ABS(hs-as),8,3),0))))</x:f>
      </x:c>
    </x:row>
    <x:row r="84">
      <x:c r="A84" s="21" t="str"/>
      <x:c r="B84" s="22" t="str"/>
      <x:c r="C84" s="22" t="str"/>
      <x:c r="D84" s="22" t="str">
        <x:f>IF(C84="","",XLOOKUP(C84,'Jogos_MataMata'!$A$2:$A$33,'Jogos_MataMata'!$B$2:$B$33,""))</x:f>
      </x:c>
      <x:c r="E84" s="22" t="str">
        <x:f>IF(C84="","",XLOOKUP(C84,'Jogos_MataMata'!$A$2:$A$33,'Jogos_MataMata'!$J$2:$J$33,""))</x:f>
      </x:c>
      <x:c r="F84" s="22" t="str">
        <x:f>IF(C84="","",XLOOKUP(C84,'Jogos_MataMata'!$A$2:$A$33,'Jogos_MataMata'!$K$2:$K$33,""))</x:f>
      </x:c>
      <x:c r="G84" s="22" t="str"/>
      <x:c r="H84" s="22" t="str"/>
      <x:c r="I84" s="22" t="str">
        <x:f>IF(AND(G84&lt;&gt;"",H84&lt;&gt;""),"SIM","NAO")</x:f>
        <x:v>NAO</x:v>
      </x:c>
      <x:c r="J84" s="23" t="str">
        <x:f>IF(OR(C84="",G84="",H84=""),"",LET(hs,XLOOKUP(C84,'Jogos_MataMata'!$A$2:$A$33,'Jogos_MataMata'!$O$2:$O$33,""),as,XLOOKUP(C84,'Jogos_MataMata'!$A$2:$A$33,'Jogos_MataMata'!$P$2:$P$33,""),win,XLOOKUP(C84,'Jogos_MataMata'!$A$2:$A$33,'Jogos_MataMata'!$Q$2:$Q$33,""),predWin,IF(G84&gt;H84,E84,IF(H84&gt;G84,F84,"")),IF(OR(hs="",as="",win=""),"",IF(predWin=win,IF(ABS(G84-H84)=ABS(hs-as),8,3),0))))</x:f>
      </x:c>
    </x:row>
    <x:row r="85">
      <x:c r="A85" s="21" t="str"/>
      <x:c r="B85" s="22" t="str"/>
      <x:c r="C85" s="22" t="str"/>
      <x:c r="D85" s="22" t="str">
        <x:f>IF(C85="","",XLOOKUP(C85,'Jogos_MataMata'!$A$2:$A$33,'Jogos_MataMata'!$B$2:$B$33,""))</x:f>
      </x:c>
      <x:c r="E85" s="22" t="str">
        <x:f>IF(C85="","",XLOOKUP(C85,'Jogos_MataMata'!$A$2:$A$33,'Jogos_MataMata'!$J$2:$J$33,""))</x:f>
      </x:c>
      <x:c r="F85" s="22" t="str">
        <x:f>IF(C85="","",XLOOKUP(C85,'Jogos_MataMata'!$A$2:$A$33,'Jogos_MataMata'!$K$2:$K$33,""))</x:f>
      </x:c>
      <x:c r="G85" s="22" t="str"/>
      <x:c r="H85" s="22" t="str"/>
      <x:c r="I85" s="22" t="str">
        <x:f>IF(AND(G85&lt;&gt;"",H85&lt;&gt;""),"SIM","NAO")</x:f>
        <x:v>NAO</x:v>
      </x:c>
      <x:c r="J85" s="23" t="str">
        <x:f>IF(OR(C85="",G85="",H85=""),"",LET(hs,XLOOKUP(C85,'Jogos_MataMata'!$A$2:$A$33,'Jogos_MataMata'!$O$2:$O$33,""),as,XLOOKUP(C85,'Jogos_MataMata'!$A$2:$A$33,'Jogos_MataMata'!$P$2:$P$33,""),win,XLOOKUP(C85,'Jogos_MataMata'!$A$2:$A$33,'Jogos_MataMata'!$Q$2:$Q$33,""),predWin,IF(G85&gt;H85,E85,IF(H85&gt;G85,F85,"")),IF(OR(hs="",as="",win=""),"",IF(predWin=win,IF(ABS(G85-H85)=ABS(hs-as),8,3),0))))</x:f>
      </x:c>
    </x:row>
    <x:row r="86">
      <x:c r="A86" s="21" t="str"/>
      <x:c r="B86" s="22" t="str"/>
      <x:c r="C86" s="22" t="str"/>
      <x:c r="D86" s="22" t="str">
        <x:f>IF(C86="","",XLOOKUP(C86,'Jogos_MataMata'!$A$2:$A$33,'Jogos_MataMata'!$B$2:$B$33,""))</x:f>
      </x:c>
      <x:c r="E86" s="22" t="str">
        <x:f>IF(C86="","",XLOOKUP(C86,'Jogos_MataMata'!$A$2:$A$33,'Jogos_MataMata'!$J$2:$J$33,""))</x:f>
      </x:c>
      <x:c r="F86" s="22" t="str">
        <x:f>IF(C86="","",XLOOKUP(C86,'Jogos_MataMata'!$A$2:$A$33,'Jogos_MataMata'!$K$2:$K$33,""))</x:f>
      </x:c>
      <x:c r="G86" s="22" t="str"/>
      <x:c r="H86" s="22" t="str"/>
      <x:c r="I86" s="22" t="str">
        <x:f>IF(AND(G86&lt;&gt;"",H86&lt;&gt;""),"SIM","NAO")</x:f>
        <x:v>NAO</x:v>
      </x:c>
      <x:c r="J86" s="23" t="str">
        <x:f>IF(OR(C86="",G86="",H86=""),"",LET(hs,XLOOKUP(C86,'Jogos_MataMata'!$A$2:$A$33,'Jogos_MataMata'!$O$2:$O$33,""),as,XLOOKUP(C86,'Jogos_MataMata'!$A$2:$A$33,'Jogos_MataMata'!$P$2:$P$33,""),win,XLOOKUP(C86,'Jogos_MataMata'!$A$2:$A$33,'Jogos_MataMata'!$Q$2:$Q$33,""),predWin,IF(G86&gt;H86,E86,IF(H86&gt;G86,F86,"")),IF(OR(hs="",as="",win=""),"",IF(predWin=win,IF(ABS(G86-H86)=ABS(hs-as),8,3),0))))</x:f>
      </x:c>
    </x:row>
    <x:row r="87">
      <x:c r="A87" s="21" t="str"/>
      <x:c r="B87" s="22" t="str"/>
      <x:c r="C87" s="22" t="str"/>
      <x:c r="D87" s="22" t="str">
        <x:f>IF(C87="","",XLOOKUP(C87,'Jogos_MataMata'!$A$2:$A$33,'Jogos_MataMata'!$B$2:$B$33,""))</x:f>
      </x:c>
      <x:c r="E87" s="22" t="str">
        <x:f>IF(C87="","",XLOOKUP(C87,'Jogos_MataMata'!$A$2:$A$33,'Jogos_MataMata'!$J$2:$J$33,""))</x:f>
      </x:c>
      <x:c r="F87" s="22" t="str">
        <x:f>IF(C87="","",XLOOKUP(C87,'Jogos_MataMata'!$A$2:$A$33,'Jogos_MataMata'!$K$2:$K$33,""))</x:f>
      </x:c>
      <x:c r="G87" s="22" t="str"/>
      <x:c r="H87" s="22" t="str"/>
      <x:c r="I87" s="22" t="str">
        <x:f>IF(AND(G87&lt;&gt;"",H87&lt;&gt;""),"SIM","NAO")</x:f>
        <x:v>NAO</x:v>
      </x:c>
      <x:c r="J87" s="23" t="str">
        <x:f>IF(OR(C87="",G87="",H87=""),"",LET(hs,XLOOKUP(C87,'Jogos_MataMata'!$A$2:$A$33,'Jogos_MataMata'!$O$2:$O$33,""),as,XLOOKUP(C87,'Jogos_MataMata'!$A$2:$A$33,'Jogos_MataMata'!$P$2:$P$33,""),win,XLOOKUP(C87,'Jogos_MataMata'!$A$2:$A$33,'Jogos_MataMata'!$Q$2:$Q$33,""),predWin,IF(G87&gt;H87,E87,IF(H87&gt;G87,F87,"")),IF(OR(hs="",as="",win=""),"",IF(predWin=win,IF(ABS(G87-H87)=ABS(hs-as),8,3),0))))</x:f>
      </x:c>
    </x:row>
    <x:row r="88">
      <x:c r="A88" s="21" t="str"/>
      <x:c r="B88" s="22" t="str"/>
      <x:c r="C88" s="22" t="str"/>
      <x:c r="D88" s="22" t="str">
        <x:f>IF(C88="","",XLOOKUP(C88,'Jogos_MataMata'!$A$2:$A$33,'Jogos_MataMata'!$B$2:$B$33,""))</x:f>
      </x:c>
      <x:c r="E88" s="22" t="str">
        <x:f>IF(C88="","",XLOOKUP(C88,'Jogos_MataMata'!$A$2:$A$33,'Jogos_MataMata'!$J$2:$J$33,""))</x:f>
      </x:c>
      <x:c r="F88" s="22" t="str">
        <x:f>IF(C88="","",XLOOKUP(C88,'Jogos_MataMata'!$A$2:$A$33,'Jogos_MataMata'!$K$2:$K$33,""))</x:f>
      </x:c>
      <x:c r="G88" s="22" t="str"/>
      <x:c r="H88" s="22" t="str"/>
      <x:c r="I88" s="22" t="str">
        <x:f>IF(AND(G88&lt;&gt;"",H88&lt;&gt;""),"SIM","NAO")</x:f>
        <x:v>NAO</x:v>
      </x:c>
      <x:c r="J88" s="23" t="str">
        <x:f>IF(OR(C88="",G88="",H88=""),"",LET(hs,XLOOKUP(C88,'Jogos_MataMata'!$A$2:$A$33,'Jogos_MataMata'!$O$2:$O$33,""),as,XLOOKUP(C88,'Jogos_MataMata'!$A$2:$A$33,'Jogos_MataMata'!$P$2:$P$33,""),win,XLOOKUP(C88,'Jogos_MataMata'!$A$2:$A$33,'Jogos_MataMata'!$Q$2:$Q$33,""),predWin,IF(G88&gt;H88,E88,IF(H88&gt;G88,F88,"")),IF(OR(hs="",as="",win=""),"",IF(predWin=win,IF(ABS(G88-H88)=ABS(hs-as),8,3),0))))</x:f>
      </x:c>
    </x:row>
    <x:row r="89">
      <x:c r="A89" s="21" t="str"/>
      <x:c r="B89" s="22" t="str"/>
      <x:c r="C89" s="22" t="str"/>
      <x:c r="D89" s="22" t="str">
        <x:f>IF(C89="","",XLOOKUP(C89,'Jogos_MataMata'!$A$2:$A$33,'Jogos_MataMata'!$B$2:$B$33,""))</x:f>
      </x:c>
      <x:c r="E89" s="22" t="str">
        <x:f>IF(C89="","",XLOOKUP(C89,'Jogos_MataMata'!$A$2:$A$33,'Jogos_MataMata'!$J$2:$J$33,""))</x:f>
      </x:c>
      <x:c r="F89" s="22" t="str">
        <x:f>IF(C89="","",XLOOKUP(C89,'Jogos_MataMata'!$A$2:$A$33,'Jogos_MataMata'!$K$2:$K$33,""))</x:f>
      </x:c>
      <x:c r="G89" s="22" t="str"/>
      <x:c r="H89" s="22" t="str"/>
      <x:c r="I89" s="22" t="str">
        <x:f>IF(AND(G89&lt;&gt;"",H89&lt;&gt;""),"SIM","NAO")</x:f>
        <x:v>NAO</x:v>
      </x:c>
      <x:c r="J89" s="23" t="str">
        <x:f>IF(OR(C89="",G89="",H89=""),"",LET(hs,XLOOKUP(C89,'Jogos_MataMata'!$A$2:$A$33,'Jogos_MataMata'!$O$2:$O$33,""),as,XLOOKUP(C89,'Jogos_MataMata'!$A$2:$A$33,'Jogos_MataMata'!$P$2:$P$33,""),win,XLOOKUP(C89,'Jogos_MataMata'!$A$2:$A$33,'Jogos_MataMata'!$Q$2:$Q$33,""),predWin,IF(G89&gt;H89,E89,IF(H89&gt;G89,F89,"")),IF(OR(hs="",as="",win=""),"",IF(predWin=win,IF(ABS(G89-H89)=ABS(hs-as),8,3),0))))</x:f>
      </x:c>
    </x:row>
    <x:row r="90">
      <x:c r="A90" s="21" t="str"/>
      <x:c r="B90" s="22" t="str"/>
      <x:c r="C90" s="22" t="str"/>
      <x:c r="D90" s="22" t="str">
        <x:f>IF(C90="","",XLOOKUP(C90,'Jogos_MataMata'!$A$2:$A$33,'Jogos_MataMata'!$B$2:$B$33,""))</x:f>
      </x:c>
      <x:c r="E90" s="22" t="str">
        <x:f>IF(C90="","",XLOOKUP(C90,'Jogos_MataMata'!$A$2:$A$33,'Jogos_MataMata'!$J$2:$J$33,""))</x:f>
      </x:c>
      <x:c r="F90" s="22" t="str">
        <x:f>IF(C90="","",XLOOKUP(C90,'Jogos_MataMata'!$A$2:$A$33,'Jogos_MataMata'!$K$2:$K$33,""))</x:f>
      </x:c>
      <x:c r="G90" s="22" t="str"/>
      <x:c r="H90" s="22" t="str"/>
      <x:c r="I90" s="22" t="str">
        <x:f>IF(AND(G90&lt;&gt;"",H90&lt;&gt;""),"SIM","NAO")</x:f>
        <x:v>NAO</x:v>
      </x:c>
      <x:c r="J90" s="23" t="str">
        <x:f>IF(OR(C90="",G90="",H90=""),"",LET(hs,XLOOKUP(C90,'Jogos_MataMata'!$A$2:$A$33,'Jogos_MataMata'!$O$2:$O$33,""),as,XLOOKUP(C90,'Jogos_MataMata'!$A$2:$A$33,'Jogos_MataMata'!$P$2:$P$33,""),win,XLOOKUP(C90,'Jogos_MataMata'!$A$2:$A$33,'Jogos_MataMata'!$Q$2:$Q$33,""),predWin,IF(G90&gt;H90,E90,IF(H90&gt;G90,F90,"")),IF(OR(hs="",as="",win=""),"",IF(predWin=win,IF(ABS(G90-H90)=ABS(hs-as),8,3),0))))</x:f>
      </x:c>
    </x:row>
    <x:row r="91">
      <x:c r="A91" s="21" t="str"/>
      <x:c r="B91" s="22" t="str"/>
      <x:c r="C91" s="22" t="str"/>
      <x:c r="D91" s="22" t="str">
        <x:f>IF(C91="","",XLOOKUP(C91,'Jogos_MataMata'!$A$2:$A$33,'Jogos_MataMata'!$B$2:$B$33,""))</x:f>
      </x:c>
      <x:c r="E91" s="22" t="str">
        <x:f>IF(C91="","",XLOOKUP(C91,'Jogos_MataMata'!$A$2:$A$33,'Jogos_MataMata'!$J$2:$J$33,""))</x:f>
      </x:c>
      <x:c r="F91" s="22" t="str">
        <x:f>IF(C91="","",XLOOKUP(C91,'Jogos_MataMata'!$A$2:$A$33,'Jogos_MataMata'!$K$2:$K$33,""))</x:f>
      </x:c>
      <x:c r="G91" s="22" t="str"/>
      <x:c r="H91" s="22" t="str"/>
      <x:c r="I91" s="22" t="str">
        <x:f>IF(AND(G91&lt;&gt;"",H91&lt;&gt;""),"SIM","NAO")</x:f>
        <x:v>NAO</x:v>
      </x:c>
      <x:c r="J91" s="23" t="str">
        <x:f>IF(OR(C91="",G91="",H91=""),"",LET(hs,XLOOKUP(C91,'Jogos_MataMata'!$A$2:$A$33,'Jogos_MataMata'!$O$2:$O$33,""),as,XLOOKUP(C91,'Jogos_MataMata'!$A$2:$A$33,'Jogos_MataMata'!$P$2:$P$33,""),win,XLOOKUP(C91,'Jogos_MataMata'!$A$2:$A$33,'Jogos_MataMata'!$Q$2:$Q$33,""),predWin,IF(G91&gt;H91,E91,IF(H91&gt;G91,F91,"")),IF(OR(hs="",as="",win=""),"",IF(predWin=win,IF(ABS(G91-H91)=ABS(hs-as),8,3),0))))</x:f>
      </x:c>
    </x:row>
    <x:row r="92">
      <x:c r="A92" s="21" t="str"/>
      <x:c r="B92" s="22" t="str"/>
      <x:c r="C92" s="22" t="str"/>
      <x:c r="D92" s="22" t="str">
        <x:f>IF(C92="","",XLOOKUP(C92,'Jogos_MataMata'!$A$2:$A$33,'Jogos_MataMata'!$B$2:$B$33,""))</x:f>
      </x:c>
      <x:c r="E92" s="22" t="str">
        <x:f>IF(C92="","",XLOOKUP(C92,'Jogos_MataMata'!$A$2:$A$33,'Jogos_MataMata'!$J$2:$J$33,""))</x:f>
      </x:c>
      <x:c r="F92" s="22" t="str">
        <x:f>IF(C92="","",XLOOKUP(C92,'Jogos_MataMata'!$A$2:$A$33,'Jogos_MataMata'!$K$2:$K$33,""))</x:f>
      </x:c>
      <x:c r="G92" s="22" t="str"/>
      <x:c r="H92" s="22" t="str"/>
      <x:c r="I92" s="22" t="str">
        <x:f>IF(AND(G92&lt;&gt;"",H92&lt;&gt;""),"SIM","NAO")</x:f>
        <x:v>NAO</x:v>
      </x:c>
      <x:c r="J92" s="23" t="str">
        <x:f>IF(OR(C92="",G92="",H92=""),"",LET(hs,XLOOKUP(C92,'Jogos_MataMata'!$A$2:$A$33,'Jogos_MataMata'!$O$2:$O$33,""),as,XLOOKUP(C92,'Jogos_MataMata'!$A$2:$A$33,'Jogos_MataMata'!$P$2:$P$33,""),win,XLOOKUP(C92,'Jogos_MataMata'!$A$2:$A$33,'Jogos_MataMata'!$Q$2:$Q$33,""),predWin,IF(G92&gt;H92,E92,IF(H92&gt;G92,F92,"")),IF(OR(hs="",as="",win=""),"",IF(predWin=win,IF(ABS(G92-H92)=ABS(hs-as),8,3),0))))</x:f>
      </x:c>
    </x:row>
    <x:row r="93">
      <x:c r="A93" s="21" t="str"/>
      <x:c r="B93" s="22" t="str"/>
      <x:c r="C93" s="22" t="str"/>
      <x:c r="D93" s="22" t="str">
        <x:f>IF(C93="","",XLOOKUP(C93,'Jogos_MataMata'!$A$2:$A$33,'Jogos_MataMata'!$B$2:$B$33,""))</x:f>
      </x:c>
      <x:c r="E93" s="22" t="str">
        <x:f>IF(C93="","",XLOOKUP(C93,'Jogos_MataMata'!$A$2:$A$33,'Jogos_MataMata'!$J$2:$J$33,""))</x:f>
      </x:c>
      <x:c r="F93" s="22" t="str">
        <x:f>IF(C93="","",XLOOKUP(C93,'Jogos_MataMata'!$A$2:$A$33,'Jogos_MataMata'!$K$2:$K$33,""))</x:f>
      </x:c>
      <x:c r="G93" s="22" t="str"/>
      <x:c r="H93" s="22" t="str"/>
      <x:c r="I93" s="22" t="str">
        <x:f>IF(AND(G93&lt;&gt;"",H93&lt;&gt;""),"SIM","NAO")</x:f>
        <x:v>NAO</x:v>
      </x:c>
      <x:c r="J93" s="23" t="str">
        <x:f>IF(OR(C93="",G93="",H93=""),"",LET(hs,XLOOKUP(C93,'Jogos_MataMata'!$A$2:$A$33,'Jogos_MataMata'!$O$2:$O$33,""),as,XLOOKUP(C93,'Jogos_MataMata'!$A$2:$A$33,'Jogos_MataMata'!$P$2:$P$33,""),win,XLOOKUP(C93,'Jogos_MataMata'!$A$2:$A$33,'Jogos_MataMata'!$Q$2:$Q$33,""),predWin,IF(G93&gt;H93,E93,IF(H93&gt;G93,F93,"")),IF(OR(hs="",as="",win=""),"",IF(predWin=win,IF(ABS(G93-H93)=ABS(hs-as),8,3),0))))</x:f>
      </x:c>
    </x:row>
    <x:row r="94">
      <x:c r="A94" s="21" t="str"/>
      <x:c r="B94" s="22" t="str"/>
      <x:c r="C94" s="22" t="str"/>
      <x:c r="D94" s="22" t="str">
        <x:f>IF(C94="","",XLOOKUP(C94,'Jogos_MataMata'!$A$2:$A$33,'Jogos_MataMata'!$B$2:$B$33,""))</x:f>
      </x:c>
      <x:c r="E94" s="22" t="str">
        <x:f>IF(C94="","",XLOOKUP(C94,'Jogos_MataMata'!$A$2:$A$33,'Jogos_MataMata'!$J$2:$J$33,""))</x:f>
      </x:c>
      <x:c r="F94" s="22" t="str">
        <x:f>IF(C94="","",XLOOKUP(C94,'Jogos_MataMata'!$A$2:$A$33,'Jogos_MataMata'!$K$2:$K$33,""))</x:f>
      </x:c>
      <x:c r="G94" s="22" t="str"/>
      <x:c r="H94" s="22" t="str"/>
      <x:c r="I94" s="22" t="str">
        <x:f>IF(AND(G94&lt;&gt;"",H94&lt;&gt;""),"SIM","NAO")</x:f>
        <x:v>NAO</x:v>
      </x:c>
      <x:c r="J94" s="23" t="str">
        <x:f>IF(OR(C94="",G94="",H94=""),"",LET(hs,XLOOKUP(C94,'Jogos_MataMata'!$A$2:$A$33,'Jogos_MataMata'!$O$2:$O$33,""),as,XLOOKUP(C94,'Jogos_MataMata'!$A$2:$A$33,'Jogos_MataMata'!$P$2:$P$33,""),win,XLOOKUP(C94,'Jogos_MataMata'!$A$2:$A$33,'Jogos_MataMata'!$Q$2:$Q$33,""),predWin,IF(G94&gt;H94,E94,IF(H94&gt;G94,F94,"")),IF(OR(hs="",as="",win=""),"",IF(predWin=win,IF(ABS(G94-H94)=ABS(hs-as),8,3),0))))</x:f>
      </x:c>
    </x:row>
    <x:row r="95">
      <x:c r="A95" s="21" t="str"/>
      <x:c r="B95" s="22" t="str"/>
      <x:c r="C95" s="22" t="str"/>
      <x:c r="D95" s="22" t="str">
        <x:f>IF(C95="","",XLOOKUP(C95,'Jogos_MataMata'!$A$2:$A$33,'Jogos_MataMata'!$B$2:$B$33,""))</x:f>
      </x:c>
      <x:c r="E95" s="22" t="str">
        <x:f>IF(C95="","",XLOOKUP(C95,'Jogos_MataMata'!$A$2:$A$33,'Jogos_MataMata'!$J$2:$J$33,""))</x:f>
      </x:c>
      <x:c r="F95" s="22" t="str">
        <x:f>IF(C95="","",XLOOKUP(C95,'Jogos_MataMata'!$A$2:$A$33,'Jogos_MataMata'!$K$2:$K$33,""))</x:f>
      </x:c>
      <x:c r="G95" s="22" t="str"/>
      <x:c r="H95" s="22" t="str"/>
      <x:c r="I95" s="22" t="str">
        <x:f>IF(AND(G95&lt;&gt;"",H95&lt;&gt;""),"SIM","NAO")</x:f>
        <x:v>NAO</x:v>
      </x:c>
      <x:c r="J95" s="23" t="str">
        <x:f>IF(OR(C95="",G95="",H95=""),"",LET(hs,XLOOKUP(C95,'Jogos_MataMata'!$A$2:$A$33,'Jogos_MataMata'!$O$2:$O$33,""),as,XLOOKUP(C95,'Jogos_MataMata'!$A$2:$A$33,'Jogos_MataMata'!$P$2:$P$33,""),win,XLOOKUP(C95,'Jogos_MataMata'!$A$2:$A$33,'Jogos_MataMata'!$Q$2:$Q$33,""),predWin,IF(G95&gt;H95,E95,IF(H95&gt;G95,F95,"")),IF(OR(hs="",as="",win=""),"",IF(predWin=win,IF(ABS(G95-H95)=ABS(hs-as),8,3),0))))</x:f>
      </x:c>
    </x:row>
    <x:row r="96">
      <x:c r="A96" s="21" t="str"/>
      <x:c r="B96" s="22" t="str"/>
      <x:c r="C96" s="22" t="str"/>
      <x:c r="D96" s="22" t="str">
        <x:f>IF(C96="","",XLOOKUP(C96,'Jogos_MataMata'!$A$2:$A$33,'Jogos_MataMata'!$B$2:$B$33,""))</x:f>
      </x:c>
      <x:c r="E96" s="22" t="str">
        <x:f>IF(C96="","",XLOOKUP(C96,'Jogos_MataMata'!$A$2:$A$33,'Jogos_MataMata'!$J$2:$J$33,""))</x:f>
      </x:c>
      <x:c r="F96" s="22" t="str">
        <x:f>IF(C96="","",XLOOKUP(C96,'Jogos_MataMata'!$A$2:$A$33,'Jogos_MataMata'!$K$2:$K$33,""))</x:f>
      </x:c>
      <x:c r="G96" s="22" t="str"/>
      <x:c r="H96" s="22" t="str"/>
      <x:c r="I96" s="22" t="str">
        <x:f>IF(AND(G96&lt;&gt;"",H96&lt;&gt;""),"SIM","NAO")</x:f>
        <x:v>NAO</x:v>
      </x:c>
      <x:c r="J96" s="23" t="str">
        <x:f>IF(OR(C96="",G96="",H96=""),"",LET(hs,XLOOKUP(C96,'Jogos_MataMata'!$A$2:$A$33,'Jogos_MataMata'!$O$2:$O$33,""),as,XLOOKUP(C96,'Jogos_MataMata'!$A$2:$A$33,'Jogos_MataMata'!$P$2:$P$33,""),win,XLOOKUP(C96,'Jogos_MataMata'!$A$2:$A$33,'Jogos_MataMata'!$Q$2:$Q$33,""),predWin,IF(G96&gt;H96,E96,IF(H96&gt;G96,F96,"")),IF(OR(hs="",as="",win=""),"",IF(predWin=win,IF(ABS(G96-H96)=ABS(hs-as),8,3),0))))</x:f>
      </x:c>
    </x:row>
    <x:row r="97">
      <x:c r="A97" s="21" t="str"/>
      <x:c r="B97" s="22" t="str"/>
      <x:c r="C97" s="22" t="str"/>
      <x:c r="D97" s="22" t="str">
        <x:f>IF(C97="","",XLOOKUP(C97,'Jogos_MataMata'!$A$2:$A$33,'Jogos_MataMata'!$B$2:$B$33,""))</x:f>
      </x:c>
      <x:c r="E97" s="22" t="str">
        <x:f>IF(C97="","",XLOOKUP(C97,'Jogos_MataMata'!$A$2:$A$33,'Jogos_MataMata'!$J$2:$J$33,""))</x:f>
      </x:c>
      <x:c r="F97" s="22" t="str">
        <x:f>IF(C97="","",XLOOKUP(C97,'Jogos_MataMata'!$A$2:$A$33,'Jogos_MataMata'!$K$2:$K$33,""))</x:f>
      </x:c>
      <x:c r="G97" s="22" t="str"/>
      <x:c r="H97" s="22" t="str"/>
      <x:c r="I97" s="22" t="str">
        <x:f>IF(AND(G97&lt;&gt;"",H97&lt;&gt;""),"SIM","NAO")</x:f>
        <x:v>NAO</x:v>
      </x:c>
      <x:c r="J97" s="23" t="str">
        <x:f>IF(OR(C97="",G97="",H97=""),"",LET(hs,XLOOKUP(C97,'Jogos_MataMata'!$A$2:$A$33,'Jogos_MataMata'!$O$2:$O$33,""),as,XLOOKUP(C97,'Jogos_MataMata'!$A$2:$A$33,'Jogos_MataMata'!$P$2:$P$33,""),win,XLOOKUP(C97,'Jogos_MataMata'!$A$2:$A$33,'Jogos_MataMata'!$Q$2:$Q$33,""),predWin,IF(G97&gt;H97,E97,IF(H97&gt;G97,F97,"")),IF(OR(hs="",as="",win=""),"",IF(predWin=win,IF(ABS(G97-H97)=ABS(hs-as),8,3),0))))</x:f>
      </x:c>
    </x:row>
    <x:row r="98">
      <x:c r="A98" s="21" t="str"/>
      <x:c r="B98" s="22" t="str"/>
      <x:c r="C98" s="22" t="str"/>
      <x:c r="D98" s="22" t="str">
        <x:f>IF(C98="","",XLOOKUP(C98,'Jogos_MataMata'!$A$2:$A$33,'Jogos_MataMata'!$B$2:$B$33,""))</x:f>
      </x:c>
      <x:c r="E98" s="22" t="str">
        <x:f>IF(C98="","",XLOOKUP(C98,'Jogos_MataMata'!$A$2:$A$33,'Jogos_MataMata'!$J$2:$J$33,""))</x:f>
      </x:c>
      <x:c r="F98" s="22" t="str">
        <x:f>IF(C98="","",XLOOKUP(C98,'Jogos_MataMata'!$A$2:$A$33,'Jogos_MataMata'!$K$2:$K$33,""))</x:f>
      </x:c>
      <x:c r="G98" s="22" t="str"/>
      <x:c r="H98" s="22" t="str"/>
      <x:c r="I98" s="22" t="str">
        <x:f>IF(AND(G98&lt;&gt;"",H98&lt;&gt;""),"SIM","NAO")</x:f>
        <x:v>NAO</x:v>
      </x:c>
      <x:c r="J98" s="23" t="str">
        <x:f>IF(OR(C98="",G98="",H98=""),"",LET(hs,XLOOKUP(C98,'Jogos_MataMata'!$A$2:$A$33,'Jogos_MataMata'!$O$2:$O$33,""),as,XLOOKUP(C98,'Jogos_MataMata'!$A$2:$A$33,'Jogos_MataMata'!$P$2:$P$33,""),win,XLOOKUP(C98,'Jogos_MataMata'!$A$2:$A$33,'Jogos_MataMata'!$Q$2:$Q$33,""),predWin,IF(G98&gt;H98,E98,IF(H98&gt;G98,F98,"")),IF(OR(hs="",as="",win=""),"",IF(predWin=win,IF(ABS(G98-H98)=ABS(hs-as),8,3),0))))</x:f>
      </x:c>
    </x:row>
    <x:row r="99">
      <x:c r="A99" s="21" t="str"/>
      <x:c r="B99" s="22" t="str"/>
      <x:c r="C99" s="22" t="str"/>
      <x:c r="D99" s="22" t="str">
        <x:f>IF(C99="","",XLOOKUP(C99,'Jogos_MataMata'!$A$2:$A$33,'Jogos_MataMata'!$B$2:$B$33,""))</x:f>
      </x:c>
      <x:c r="E99" s="22" t="str">
        <x:f>IF(C99="","",XLOOKUP(C99,'Jogos_MataMata'!$A$2:$A$33,'Jogos_MataMata'!$J$2:$J$33,""))</x:f>
      </x:c>
      <x:c r="F99" s="22" t="str">
        <x:f>IF(C99="","",XLOOKUP(C99,'Jogos_MataMata'!$A$2:$A$33,'Jogos_MataMata'!$K$2:$K$33,""))</x:f>
      </x:c>
      <x:c r="G99" s="22" t="str"/>
      <x:c r="H99" s="22" t="str"/>
      <x:c r="I99" s="22" t="str">
        <x:f>IF(AND(G99&lt;&gt;"",H99&lt;&gt;""),"SIM","NAO")</x:f>
        <x:v>NAO</x:v>
      </x:c>
      <x:c r="J99" s="23" t="str">
        <x:f>IF(OR(C99="",G99="",H99=""),"",LET(hs,XLOOKUP(C99,'Jogos_MataMata'!$A$2:$A$33,'Jogos_MataMata'!$O$2:$O$33,""),as,XLOOKUP(C99,'Jogos_MataMata'!$A$2:$A$33,'Jogos_MataMata'!$P$2:$P$33,""),win,XLOOKUP(C99,'Jogos_MataMata'!$A$2:$A$33,'Jogos_MataMata'!$Q$2:$Q$33,""),predWin,IF(G99&gt;H99,E99,IF(H99&gt;G99,F99,"")),IF(OR(hs="",as="",win=""),"",IF(predWin=win,IF(ABS(G99-H99)=ABS(hs-as),8,3),0))))</x:f>
      </x:c>
    </x:row>
    <x:row r="100">
      <x:c r="A100" s="21" t="str"/>
      <x:c r="B100" s="22" t="str"/>
      <x:c r="C100" s="22" t="str"/>
      <x:c r="D100" s="22" t="str">
        <x:f>IF(C100="","",XLOOKUP(C100,'Jogos_MataMata'!$A$2:$A$33,'Jogos_MataMata'!$B$2:$B$33,""))</x:f>
      </x:c>
      <x:c r="E100" s="22" t="str">
        <x:f>IF(C100="","",XLOOKUP(C100,'Jogos_MataMata'!$A$2:$A$33,'Jogos_MataMata'!$J$2:$J$33,""))</x:f>
      </x:c>
      <x:c r="F100" s="22" t="str">
        <x:f>IF(C100="","",XLOOKUP(C100,'Jogos_MataMata'!$A$2:$A$33,'Jogos_MataMata'!$K$2:$K$33,""))</x:f>
      </x:c>
      <x:c r="G100" s="22" t="str"/>
      <x:c r="H100" s="22" t="str"/>
      <x:c r="I100" s="22" t="str">
        <x:f>IF(AND(G100&lt;&gt;"",H100&lt;&gt;""),"SIM","NAO")</x:f>
        <x:v>NAO</x:v>
      </x:c>
      <x:c r="J100" s="23" t="str">
        <x:f>IF(OR(C100="",G100="",H100=""),"",LET(hs,XLOOKUP(C100,'Jogos_MataMata'!$A$2:$A$33,'Jogos_MataMata'!$O$2:$O$33,""),as,XLOOKUP(C100,'Jogos_MataMata'!$A$2:$A$33,'Jogos_MataMata'!$P$2:$P$33,""),win,XLOOKUP(C100,'Jogos_MataMata'!$A$2:$A$33,'Jogos_MataMata'!$Q$2:$Q$33,""),predWin,IF(G100&gt;H100,E100,IF(H100&gt;G100,F100,"")),IF(OR(hs="",as="",win=""),"",IF(predWin=win,IF(ABS(G100-H100)=ABS(hs-as),8,3),0))))</x:f>
      </x:c>
    </x:row>
    <x:row r="101">
      <x:c r="A101" s="21" t="str"/>
      <x:c r="B101" s="22" t="str"/>
      <x:c r="C101" s="22" t="str"/>
      <x:c r="D101" s="22" t="str">
        <x:f>IF(C101="","",XLOOKUP(C101,'Jogos_MataMata'!$A$2:$A$33,'Jogos_MataMata'!$B$2:$B$33,""))</x:f>
      </x:c>
      <x:c r="E101" s="22" t="str">
        <x:f>IF(C101="","",XLOOKUP(C101,'Jogos_MataMata'!$A$2:$A$33,'Jogos_MataMata'!$J$2:$J$33,""))</x:f>
      </x:c>
      <x:c r="F101" s="22" t="str">
        <x:f>IF(C101="","",XLOOKUP(C101,'Jogos_MataMata'!$A$2:$A$33,'Jogos_MataMata'!$K$2:$K$33,""))</x:f>
      </x:c>
      <x:c r="G101" s="22" t="str"/>
      <x:c r="H101" s="22" t="str"/>
      <x:c r="I101" s="22" t="str">
        <x:f>IF(AND(G101&lt;&gt;"",H101&lt;&gt;""),"SIM","NAO")</x:f>
        <x:v>NAO</x:v>
      </x:c>
      <x:c r="J101" s="23" t="str">
        <x:f>IF(OR(C101="",G101="",H101=""),"",LET(hs,XLOOKUP(C101,'Jogos_MataMata'!$A$2:$A$33,'Jogos_MataMata'!$O$2:$O$33,""),as,XLOOKUP(C101,'Jogos_MataMata'!$A$2:$A$33,'Jogos_MataMata'!$P$2:$P$33,""),win,XLOOKUP(C101,'Jogos_MataMata'!$A$2:$A$33,'Jogos_MataMata'!$Q$2:$Q$33,""),predWin,IF(G101&gt;H101,E101,IF(H101&gt;G101,F101,"")),IF(OR(hs="",as="",win=""),"",IF(predWin=win,IF(ABS(G101-H101)=ABS(hs-as),8,3),0))))</x:f>
      </x:c>
    </x:row>
    <x:row r="102">
      <x:c r="A102" s="21" t="str"/>
      <x:c r="B102" s="22" t="str"/>
      <x:c r="C102" s="22" t="str"/>
      <x:c r="D102" s="22" t="str">
        <x:f>IF(C102="","",XLOOKUP(C102,'Jogos_MataMata'!$A$2:$A$33,'Jogos_MataMata'!$B$2:$B$33,""))</x:f>
      </x:c>
      <x:c r="E102" s="22" t="str">
        <x:f>IF(C102="","",XLOOKUP(C102,'Jogos_MataMata'!$A$2:$A$33,'Jogos_MataMata'!$J$2:$J$33,""))</x:f>
      </x:c>
      <x:c r="F102" s="22" t="str">
        <x:f>IF(C102="","",XLOOKUP(C102,'Jogos_MataMata'!$A$2:$A$33,'Jogos_MataMata'!$K$2:$K$33,""))</x:f>
      </x:c>
      <x:c r="G102" s="22" t="str"/>
      <x:c r="H102" s="22" t="str"/>
      <x:c r="I102" s="22" t="str">
        <x:f>IF(AND(G102&lt;&gt;"",H102&lt;&gt;""),"SIM","NAO")</x:f>
        <x:v>NAO</x:v>
      </x:c>
      <x:c r="J102" s="23" t="str">
        <x:f>IF(OR(C102="",G102="",H102=""),"",LET(hs,XLOOKUP(C102,'Jogos_MataMata'!$A$2:$A$33,'Jogos_MataMata'!$O$2:$O$33,""),as,XLOOKUP(C102,'Jogos_MataMata'!$A$2:$A$33,'Jogos_MataMata'!$P$2:$P$33,""),win,XLOOKUP(C102,'Jogos_MataMata'!$A$2:$A$33,'Jogos_MataMata'!$Q$2:$Q$33,""),predWin,IF(G102&gt;H102,E102,IF(H102&gt;G102,F102,"")),IF(OR(hs="",as="",win=""),"",IF(predWin=win,IF(ABS(G102-H102)=ABS(hs-as),8,3),0))))</x:f>
      </x:c>
    </x:row>
    <x:row r="103">
      <x:c r="A103" s="21" t="str"/>
      <x:c r="B103" s="22" t="str"/>
      <x:c r="C103" s="22" t="str"/>
      <x:c r="D103" s="22" t="str">
        <x:f>IF(C103="","",XLOOKUP(C103,'Jogos_MataMata'!$A$2:$A$33,'Jogos_MataMata'!$B$2:$B$33,""))</x:f>
      </x:c>
      <x:c r="E103" s="22" t="str">
        <x:f>IF(C103="","",XLOOKUP(C103,'Jogos_MataMata'!$A$2:$A$33,'Jogos_MataMata'!$J$2:$J$33,""))</x:f>
      </x:c>
      <x:c r="F103" s="22" t="str">
        <x:f>IF(C103="","",XLOOKUP(C103,'Jogos_MataMata'!$A$2:$A$33,'Jogos_MataMata'!$K$2:$K$33,""))</x:f>
      </x:c>
      <x:c r="G103" s="22" t="str"/>
      <x:c r="H103" s="22" t="str"/>
      <x:c r="I103" s="22" t="str">
        <x:f>IF(AND(G103&lt;&gt;"",H103&lt;&gt;""),"SIM","NAO")</x:f>
        <x:v>NAO</x:v>
      </x:c>
      <x:c r="J103" s="23" t="str">
        <x:f>IF(OR(C103="",G103="",H103=""),"",LET(hs,XLOOKUP(C103,'Jogos_MataMata'!$A$2:$A$33,'Jogos_MataMata'!$O$2:$O$33,""),as,XLOOKUP(C103,'Jogos_MataMata'!$A$2:$A$33,'Jogos_MataMata'!$P$2:$P$33,""),win,XLOOKUP(C103,'Jogos_MataMata'!$A$2:$A$33,'Jogos_MataMata'!$Q$2:$Q$33,""),predWin,IF(G103&gt;H103,E103,IF(H103&gt;G103,F103,"")),IF(OR(hs="",as="",win=""),"",IF(predWin=win,IF(ABS(G103-H103)=ABS(hs-as),8,3),0))))</x:f>
      </x:c>
    </x:row>
    <x:row r="104">
      <x:c r="A104" s="21" t="str"/>
      <x:c r="B104" s="22" t="str"/>
      <x:c r="C104" s="22" t="str"/>
      <x:c r="D104" s="22" t="str">
        <x:f>IF(C104="","",XLOOKUP(C104,'Jogos_MataMata'!$A$2:$A$33,'Jogos_MataMata'!$B$2:$B$33,""))</x:f>
      </x:c>
      <x:c r="E104" s="22" t="str">
        <x:f>IF(C104="","",XLOOKUP(C104,'Jogos_MataMata'!$A$2:$A$33,'Jogos_MataMata'!$J$2:$J$33,""))</x:f>
      </x:c>
      <x:c r="F104" s="22" t="str">
        <x:f>IF(C104="","",XLOOKUP(C104,'Jogos_MataMata'!$A$2:$A$33,'Jogos_MataMata'!$K$2:$K$33,""))</x:f>
      </x:c>
      <x:c r="G104" s="22" t="str"/>
      <x:c r="H104" s="22" t="str"/>
      <x:c r="I104" s="22" t="str">
        <x:f>IF(AND(G104&lt;&gt;"",H104&lt;&gt;""),"SIM","NAO")</x:f>
        <x:v>NAO</x:v>
      </x:c>
      <x:c r="J104" s="23" t="str">
        <x:f>IF(OR(C104="",G104="",H104=""),"",LET(hs,XLOOKUP(C104,'Jogos_MataMata'!$A$2:$A$33,'Jogos_MataMata'!$O$2:$O$33,""),as,XLOOKUP(C104,'Jogos_MataMata'!$A$2:$A$33,'Jogos_MataMata'!$P$2:$P$33,""),win,XLOOKUP(C104,'Jogos_MataMata'!$A$2:$A$33,'Jogos_MataMata'!$Q$2:$Q$33,""),predWin,IF(G104&gt;H104,E104,IF(H104&gt;G104,F104,"")),IF(OR(hs="",as="",win=""),"",IF(predWin=win,IF(ABS(G104-H104)=ABS(hs-as),8,3),0))))</x:f>
      </x:c>
    </x:row>
    <x:row r="105">
      <x:c r="A105" s="21" t="str"/>
      <x:c r="B105" s="22" t="str"/>
      <x:c r="C105" s="22" t="str"/>
      <x:c r="D105" s="22" t="str">
        <x:f>IF(C105="","",XLOOKUP(C105,'Jogos_MataMata'!$A$2:$A$33,'Jogos_MataMata'!$B$2:$B$33,""))</x:f>
      </x:c>
      <x:c r="E105" s="22" t="str">
        <x:f>IF(C105="","",XLOOKUP(C105,'Jogos_MataMata'!$A$2:$A$33,'Jogos_MataMata'!$J$2:$J$33,""))</x:f>
      </x:c>
      <x:c r="F105" s="22" t="str">
        <x:f>IF(C105="","",XLOOKUP(C105,'Jogos_MataMata'!$A$2:$A$33,'Jogos_MataMata'!$K$2:$K$33,""))</x:f>
      </x:c>
      <x:c r="G105" s="22" t="str"/>
      <x:c r="H105" s="22" t="str"/>
      <x:c r="I105" s="22" t="str">
        <x:f>IF(AND(G105&lt;&gt;"",H105&lt;&gt;""),"SIM","NAO")</x:f>
        <x:v>NAO</x:v>
      </x:c>
      <x:c r="J105" s="23" t="str">
        <x:f>IF(OR(C105="",G105="",H105=""),"",LET(hs,XLOOKUP(C105,'Jogos_MataMata'!$A$2:$A$33,'Jogos_MataMata'!$O$2:$O$33,""),as,XLOOKUP(C105,'Jogos_MataMata'!$A$2:$A$33,'Jogos_MataMata'!$P$2:$P$33,""),win,XLOOKUP(C105,'Jogos_MataMata'!$A$2:$A$33,'Jogos_MataMata'!$Q$2:$Q$33,""),predWin,IF(G105&gt;H105,E105,IF(H105&gt;G105,F105,"")),IF(OR(hs="",as="",win=""),"",IF(predWin=win,IF(ABS(G105-H105)=ABS(hs-as),8,3),0))))</x:f>
      </x:c>
    </x:row>
    <x:row r="106">
      <x:c r="A106" s="21" t="str"/>
      <x:c r="B106" s="22" t="str"/>
      <x:c r="C106" s="22" t="str"/>
      <x:c r="D106" s="22" t="str">
        <x:f>IF(C106="","",XLOOKUP(C106,'Jogos_MataMata'!$A$2:$A$33,'Jogos_MataMata'!$B$2:$B$33,""))</x:f>
      </x:c>
      <x:c r="E106" s="22" t="str">
        <x:f>IF(C106="","",XLOOKUP(C106,'Jogos_MataMata'!$A$2:$A$33,'Jogos_MataMata'!$J$2:$J$33,""))</x:f>
      </x:c>
      <x:c r="F106" s="22" t="str">
        <x:f>IF(C106="","",XLOOKUP(C106,'Jogos_MataMata'!$A$2:$A$33,'Jogos_MataMata'!$K$2:$K$33,""))</x:f>
      </x:c>
      <x:c r="G106" s="22" t="str"/>
      <x:c r="H106" s="22" t="str"/>
      <x:c r="I106" s="22" t="str">
        <x:f>IF(AND(G106&lt;&gt;"",H106&lt;&gt;""),"SIM","NAO")</x:f>
        <x:v>NAO</x:v>
      </x:c>
      <x:c r="J106" s="23" t="str">
        <x:f>IF(OR(C106="",G106="",H106=""),"",LET(hs,XLOOKUP(C106,'Jogos_MataMata'!$A$2:$A$33,'Jogos_MataMata'!$O$2:$O$33,""),as,XLOOKUP(C106,'Jogos_MataMata'!$A$2:$A$33,'Jogos_MataMata'!$P$2:$P$33,""),win,XLOOKUP(C106,'Jogos_MataMata'!$A$2:$A$33,'Jogos_MataMata'!$Q$2:$Q$33,""),predWin,IF(G106&gt;H106,E106,IF(H106&gt;G106,F106,"")),IF(OR(hs="",as="",win=""),"",IF(predWin=win,IF(ABS(G106-H106)=ABS(hs-as),8,3),0))))</x:f>
      </x:c>
    </x:row>
    <x:row r="107">
      <x:c r="A107" s="21" t="str"/>
      <x:c r="B107" s="22" t="str"/>
      <x:c r="C107" s="22" t="str"/>
      <x:c r="D107" s="22" t="str">
        <x:f>IF(C107="","",XLOOKUP(C107,'Jogos_MataMata'!$A$2:$A$33,'Jogos_MataMata'!$B$2:$B$33,""))</x:f>
      </x:c>
      <x:c r="E107" s="22" t="str">
        <x:f>IF(C107="","",XLOOKUP(C107,'Jogos_MataMata'!$A$2:$A$33,'Jogos_MataMata'!$J$2:$J$33,""))</x:f>
      </x:c>
      <x:c r="F107" s="22" t="str">
        <x:f>IF(C107="","",XLOOKUP(C107,'Jogos_MataMata'!$A$2:$A$33,'Jogos_MataMata'!$K$2:$K$33,""))</x:f>
      </x:c>
      <x:c r="G107" s="22" t="str"/>
      <x:c r="H107" s="22" t="str"/>
      <x:c r="I107" s="22" t="str">
        <x:f>IF(AND(G107&lt;&gt;"",H107&lt;&gt;""),"SIM","NAO")</x:f>
        <x:v>NAO</x:v>
      </x:c>
      <x:c r="J107" s="23" t="str">
        <x:f>IF(OR(C107="",G107="",H107=""),"",LET(hs,XLOOKUP(C107,'Jogos_MataMata'!$A$2:$A$33,'Jogos_MataMata'!$O$2:$O$33,""),as,XLOOKUP(C107,'Jogos_MataMata'!$A$2:$A$33,'Jogos_MataMata'!$P$2:$P$33,""),win,XLOOKUP(C107,'Jogos_MataMata'!$A$2:$A$33,'Jogos_MataMata'!$Q$2:$Q$33,""),predWin,IF(G107&gt;H107,E107,IF(H107&gt;G107,F107,"")),IF(OR(hs="",as="",win=""),"",IF(predWin=win,IF(ABS(G107-H107)=ABS(hs-as),8,3),0))))</x:f>
      </x:c>
    </x:row>
    <x:row r="108">
      <x:c r="A108" s="21" t="str"/>
      <x:c r="B108" s="22" t="str"/>
      <x:c r="C108" s="22" t="str"/>
      <x:c r="D108" s="22" t="str">
        <x:f>IF(C108="","",XLOOKUP(C108,'Jogos_MataMata'!$A$2:$A$33,'Jogos_MataMata'!$B$2:$B$33,""))</x:f>
      </x:c>
      <x:c r="E108" s="22" t="str">
        <x:f>IF(C108="","",XLOOKUP(C108,'Jogos_MataMata'!$A$2:$A$33,'Jogos_MataMata'!$J$2:$J$33,""))</x:f>
      </x:c>
      <x:c r="F108" s="22" t="str">
        <x:f>IF(C108="","",XLOOKUP(C108,'Jogos_MataMata'!$A$2:$A$33,'Jogos_MataMata'!$K$2:$K$33,""))</x:f>
      </x:c>
      <x:c r="G108" s="22" t="str"/>
      <x:c r="H108" s="22" t="str"/>
      <x:c r="I108" s="22" t="str">
        <x:f>IF(AND(G108&lt;&gt;"",H108&lt;&gt;""),"SIM","NAO")</x:f>
        <x:v>NAO</x:v>
      </x:c>
      <x:c r="J108" s="23" t="str">
        <x:f>IF(OR(C108="",G108="",H108=""),"",LET(hs,XLOOKUP(C108,'Jogos_MataMata'!$A$2:$A$33,'Jogos_MataMata'!$O$2:$O$33,""),as,XLOOKUP(C108,'Jogos_MataMata'!$A$2:$A$33,'Jogos_MataMata'!$P$2:$P$33,""),win,XLOOKUP(C108,'Jogos_MataMata'!$A$2:$A$33,'Jogos_MataMata'!$Q$2:$Q$33,""),predWin,IF(G108&gt;H108,E108,IF(H108&gt;G108,F108,"")),IF(OR(hs="",as="",win=""),"",IF(predWin=win,IF(ABS(G108-H108)=ABS(hs-as),8,3),0))))</x:f>
      </x:c>
    </x:row>
    <x:row r="109">
      <x:c r="A109" s="21" t="str"/>
      <x:c r="B109" s="22" t="str"/>
      <x:c r="C109" s="22" t="str"/>
      <x:c r="D109" s="22" t="str">
        <x:f>IF(C109="","",XLOOKUP(C109,'Jogos_MataMata'!$A$2:$A$33,'Jogos_MataMata'!$B$2:$B$33,""))</x:f>
      </x:c>
      <x:c r="E109" s="22" t="str">
        <x:f>IF(C109="","",XLOOKUP(C109,'Jogos_MataMata'!$A$2:$A$33,'Jogos_MataMata'!$J$2:$J$33,""))</x:f>
      </x:c>
      <x:c r="F109" s="22" t="str">
        <x:f>IF(C109="","",XLOOKUP(C109,'Jogos_MataMata'!$A$2:$A$33,'Jogos_MataMata'!$K$2:$K$33,""))</x:f>
      </x:c>
      <x:c r="G109" s="22" t="str"/>
      <x:c r="H109" s="22" t="str"/>
      <x:c r="I109" s="22" t="str">
        <x:f>IF(AND(G109&lt;&gt;"",H109&lt;&gt;""),"SIM","NAO")</x:f>
        <x:v>NAO</x:v>
      </x:c>
      <x:c r="J109" s="23" t="str">
        <x:f>IF(OR(C109="",G109="",H109=""),"",LET(hs,XLOOKUP(C109,'Jogos_MataMata'!$A$2:$A$33,'Jogos_MataMata'!$O$2:$O$33,""),as,XLOOKUP(C109,'Jogos_MataMata'!$A$2:$A$33,'Jogos_MataMata'!$P$2:$P$33,""),win,XLOOKUP(C109,'Jogos_MataMata'!$A$2:$A$33,'Jogos_MataMata'!$Q$2:$Q$33,""),predWin,IF(G109&gt;H109,E109,IF(H109&gt;G109,F109,"")),IF(OR(hs="",as="",win=""),"",IF(predWin=win,IF(ABS(G109-H109)=ABS(hs-as),8,3),0))))</x:f>
      </x:c>
    </x:row>
    <x:row r="110">
      <x:c r="A110" s="21" t="str"/>
      <x:c r="B110" s="22" t="str"/>
      <x:c r="C110" s="22" t="str"/>
      <x:c r="D110" s="22" t="str">
        <x:f>IF(C110="","",XLOOKUP(C110,'Jogos_MataMata'!$A$2:$A$33,'Jogos_MataMata'!$B$2:$B$33,""))</x:f>
      </x:c>
      <x:c r="E110" s="22" t="str">
        <x:f>IF(C110="","",XLOOKUP(C110,'Jogos_MataMata'!$A$2:$A$33,'Jogos_MataMata'!$J$2:$J$33,""))</x:f>
      </x:c>
      <x:c r="F110" s="22" t="str">
        <x:f>IF(C110="","",XLOOKUP(C110,'Jogos_MataMata'!$A$2:$A$33,'Jogos_MataMata'!$K$2:$K$33,""))</x:f>
      </x:c>
      <x:c r="G110" s="22" t="str"/>
      <x:c r="H110" s="22" t="str"/>
      <x:c r="I110" s="22" t="str">
        <x:f>IF(AND(G110&lt;&gt;"",H110&lt;&gt;""),"SIM","NAO")</x:f>
        <x:v>NAO</x:v>
      </x:c>
      <x:c r="J110" s="23" t="str">
        <x:f>IF(OR(C110="",G110="",H110=""),"",LET(hs,XLOOKUP(C110,'Jogos_MataMata'!$A$2:$A$33,'Jogos_MataMata'!$O$2:$O$33,""),as,XLOOKUP(C110,'Jogos_MataMata'!$A$2:$A$33,'Jogos_MataMata'!$P$2:$P$33,""),win,XLOOKUP(C110,'Jogos_MataMata'!$A$2:$A$33,'Jogos_MataMata'!$Q$2:$Q$33,""),predWin,IF(G110&gt;H110,E110,IF(H110&gt;G110,F110,"")),IF(OR(hs="",as="",win=""),"",IF(predWin=win,IF(ABS(G110-H110)=ABS(hs-as),8,3),0))))</x:f>
      </x:c>
    </x:row>
    <x:row r="111">
      <x:c r="A111" s="21" t="str"/>
      <x:c r="B111" s="22" t="str"/>
      <x:c r="C111" s="22" t="str"/>
      <x:c r="D111" s="22" t="str">
        <x:f>IF(C111="","",XLOOKUP(C111,'Jogos_MataMata'!$A$2:$A$33,'Jogos_MataMata'!$B$2:$B$33,""))</x:f>
      </x:c>
      <x:c r="E111" s="22" t="str">
        <x:f>IF(C111="","",XLOOKUP(C111,'Jogos_MataMata'!$A$2:$A$33,'Jogos_MataMata'!$J$2:$J$33,""))</x:f>
      </x:c>
      <x:c r="F111" s="22" t="str">
        <x:f>IF(C111="","",XLOOKUP(C111,'Jogos_MataMata'!$A$2:$A$33,'Jogos_MataMata'!$K$2:$K$33,""))</x:f>
      </x:c>
      <x:c r="G111" s="22" t="str"/>
      <x:c r="H111" s="22" t="str"/>
      <x:c r="I111" s="22" t="str">
        <x:f>IF(AND(G111&lt;&gt;"",H111&lt;&gt;""),"SIM","NAO")</x:f>
        <x:v>NAO</x:v>
      </x:c>
      <x:c r="J111" s="23" t="str">
        <x:f>IF(OR(C111="",G111="",H111=""),"",LET(hs,XLOOKUP(C111,'Jogos_MataMata'!$A$2:$A$33,'Jogos_MataMata'!$O$2:$O$33,""),as,XLOOKUP(C111,'Jogos_MataMata'!$A$2:$A$33,'Jogos_MataMata'!$P$2:$P$33,""),win,XLOOKUP(C111,'Jogos_MataMata'!$A$2:$A$33,'Jogos_MataMata'!$Q$2:$Q$33,""),predWin,IF(G111&gt;H111,E111,IF(H111&gt;G111,F111,"")),IF(OR(hs="",as="",win=""),"",IF(predWin=win,IF(ABS(G111-H111)=ABS(hs-as),8,3),0))))</x:f>
      </x:c>
    </x:row>
    <x:row r="112">
      <x:c r="A112" s="21" t="str"/>
      <x:c r="B112" s="22" t="str"/>
      <x:c r="C112" s="22" t="str"/>
      <x:c r="D112" s="22" t="str">
        <x:f>IF(C112="","",XLOOKUP(C112,'Jogos_MataMata'!$A$2:$A$33,'Jogos_MataMata'!$B$2:$B$33,""))</x:f>
      </x:c>
      <x:c r="E112" s="22" t="str">
        <x:f>IF(C112="","",XLOOKUP(C112,'Jogos_MataMata'!$A$2:$A$33,'Jogos_MataMata'!$J$2:$J$33,""))</x:f>
      </x:c>
      <x:c r="F112" s="22" t="str">
        <x:f>IF(C112="","",XLOOKUP(C112,'Jogos_MataMata'!$A$2:$A$33,'Jogos_MataMata'!$K$2:$K$33,""))</x:f>
      </x:c>
      <x:c r="G112" s="22" t="str"/>
      <x:c r="H112" s="22" t="str"/>
      <x:c r="I112" s="22" t="str">
        <x:f>IF(AND(G112&lt;&gt;"",H112&lt;&gt;""),"SIM","NAO")</x:f>
        <x:v>NAO</x:v>
      </x:c>
      <x:c r="J112" s="23" t="str">
        <x:f>IF(OR(C112="",G112="",H112=""),"",LET(hs,XLOOKUP(C112,'Jogos_MataMata'!$A$2:$A$33,'Jogos_MataMata'!$O$2:$O$33,""),as,XLOOKUP(C112,'Jogos_MataMata'!$A$2:$A$33,'Jogos_MataMata'!$P$2:$P$33,""),win,XLOOKUP(C112,'Jogos_MataMata'!$A$2:$A$33,'Jogos_MataMata'!$Q$2:$Q$33,""),predWin,IF(G112&gt;H112,E112,IF(H112&gt;G112,F112,"")),IF(OR(hs="",as="",win=""),"",IF(predWin=win,IF(ABS(G112-H112)=ABS(hs-as),8,3),0))))</x:f>
      </x:c>
    </x:row>
    <x:row r="113">
      <x:c r="A113" s="21" t="str"/>
      <x:c r="B113" s="22" t="str"/>
      <x:c r="C113" s="22" t="str"/>
      <x:c r="D113" s="22" t="str">
        <x:f>IF(C113="","",XLOOKUP(C113,'Jogos_MataMata'!$A$2:$A$33,'Jogos_MataMata'!$B$2:$B$33,""))</x:f>
      </x:c>
      <x:c r="E113" s="22" t="str">
        <x:f>IF(C113="","",XLOOKUP(C113,'Jogos_MataMata'!$A$2:$A$33,'Jogos_MataMata'!$J$2:$J$33,""))</x:f>
      </x:c>
      <x:c r="F113" s="22" t="str">
        <x:f>IF(C113="","",XLOOKUP(C113,'Jogos_MataMata'!$A$2:$A$33,'Jogos_MataMata'!$K$2:$K$33,""))</x:f>
      </x:c>
      <x:c r="G113" s="22" t="str"/>
      <x:c r="H113" s="22" t="str"/>
      <x:c r="I113" s="22" t="str">
        <x:f>IF(AND(G113&lt;&gt;"",H113&lt;&gt;""),"SIM","NAO")</x:f>
        <x:v>NAO</x:v>
      </x:c>
      <x:c r="J113" s="23" t="str">
        <x:f>IF(OR(C113="",G113="",H113=""),"",LET(hs,XLOOKUP(C113,'Jogos_MataMata'!$A$2:$A$33,'Jogos_MataMata'!$O$2:$O$33,""),as,XLOOKUP(C113,'Jogos_MataMata'!$A$2:$A$33,'Jogos_MataMata'!$P$2:$P$33,""),win,XLOOKUP(C113,'Jogos_MataMata'!$A$2:$A$33,'Jogos_MataMata'!$Q$2:$Q$33,""),predWin,IF(G113&gt;H113,E113,IF(H113&gt;G113,F113,"")),IF(OR(hs="",as="",win=""),"",IF(predWin=win,IF(ABS(G113-H113)=ABS(hs-as),8,3),0))))</x:f>
      </x:c>
    </x:row>
    <x:row r="114">
      <x:c r="A114" s="21" t="str"/>
      <x:c r="B114" s="22" t="str"/>
      <x:c r="C114" s="22" t="str"/>
      <x:c r="D114" s="22" t="str">
        <x:f>IF(C114="","",XLOOKUP(C114,'Jogos_MataMata'!$A$2:$A$33,'Jogos_MataMata'!$B$2:$B$33,""))</x:f>
      </x:c>
      <x:c r="E114" s="22" t="str">
        <x:f>IF(C114="","",XLOOKUP(C114,'Jogos_MataMata'!$A$2:$A$33,'Jogos_MataMata'!$J$2:$J$33,""))</x:f>
      </x:c>
      <x:c r="F114" s="22" t="str">
        <x:f>IF(C114="","",XLOOKUP(C114,'Jogos_MataMata'!$A$2:$A$33,'Jogos_MataMata'!$K$2:$K$33,""))</x:f>
      </x:c>
      <x:c r="G114" s="22" t="str"/>
      <x:c r="H114" s="22" t="str"/>
      <x:c r="I114" s="22" t="str">
        <x:f>IF(AND(G114&lt;&gt;"",H114&lt;&gt;""),"SIM","NAO")</x:f>
        <x:v>NAO</x:v>
      </x:c>
      <x:c r="J114" s="23" t="str">
        <x:f>IF(OR(C114="",G114="",H114=""),"",LET(hs,XLOOKUP(C114,'Jogos_MataMata'!$A$2:$A$33,'Jogos_MataMata'!$O$2:$O$33,""),as,XLOOKUP(C114,'Jogos_MataMata'!$A$2:$A$33,'Jogos_MataMata'!$P$2:$P$33,""),win,XLOOKUP(C114,'Jogos_MataMata'!$A$2:$A$33,'Jogos_MataMata'!$Q$2:$Q$33,""),predWin,IF(G114&gt;H114,E114,IF(H114&gt;G114,F114,"")),IF(OR(hs="",as="",win=""),"",IF(predWin=win,IF(ABS(G114-H114)=ABS(hs-as),8,3),0))))</x:f>
      </x:c>
    </x:row>
    <x:row r="115">
      <x:c r="A115" s="21" t="str"/>
      <x:c r="B115" s="22" t="str"/>
      <x:c r="C115" s="22" t="str"/>
      <x:c r="D115" s="22" t="str">
        <x:f>IF(C115="","",XLOOKUP(C115,'Jogos_MataMata'!$A$2:$A$33,'Jogos_MataMata'!$B$2:$B$33,""))</x:f>
      </x:c>
      <x:c r="E115" s="22" t="str">
        <x:f>IF(C115="","",XLOOKUP(C115,'Jogos_MataMata'!$A$2:$A$33,'Jogos_MataMata'!$J$2:$J$33,""))</x:f>
      </x:c>
      <x:c r="F115" s="22" t="str">
        <x:f>IF(C115="","",XLOOKUP(C115,'Jogos_MataMata'!$A$2:$A$33,'Jogos_MataMata'!$K$2:$K$33,""))</x:f>
      </x:c>
      <x:c r="G115" s="22" t="str"/>
      <x:c r="H115" s="22" t="str"/>
      <x:c r="I115" s="22" t="str">
        <x:f>IF(AND(G115&lt;&gt;"",H115&lt;&gt;""),"SIM","NAO")</x:f>
        <x:v>NAO</x:v>
      </x:c>
      <x:c r="J115" s="23" t="str">
        <x:f>IF(OR(C115="",G115="",H115=""),"",LET(hs,XLOOKUP(C115,'Jogos_MataMata'!$A$2:$A$33,'Jogos_MataMata'!$O$2:$O$33,""),as,XLOOKUP(C115,'Jogos_MataMata'!$A$2:$A$33,'Jogos_MataMata'!$P$2:$P$33,""),win,XLOOKUP(C115,'Jogos_MataMata'!$A$2:$A$33,'Jogos_MataMata'!$Q$2:$Q$33,""),predWin,IF(G115&gt;H115,E115,IF(H115&gt;G115,F115,"")),IF(OR(hs="",as="",win=""),"",IF(predWin=win,IF(ABS(G115-H115)=ABS(hs-as),8,3),0))))</x:f>
      </x:c>
    </x:row>
    <x:row r="116">
      <x:c r="A116" s="21" t="str"/>
      <x:c r="B116" s="22" t="str"/>
      <x:c r="C116" s="22" t="str"/>
      <x:c r="D116" s="22" t="str">
        <x:f>IF(C116="","",XLOOKUP(C116,'Jogos_MataMata'!$A$2:$A$33,'Jogos_MataMata'!$B$2:$B$33,""))</x:f>
      </x:c>
      <x:c r="E116" s="22" t="str">
        <x:f>IF(C116="","",XLOOKUP(C116,'Jogos_MataMata'!$A$2:$A$33,'Jogos_MataMata'!$J$2:$J$33,""))</x:f>
      </x:c>
      <x:c r="F116" s="22" t="str">
        <x:f>IF(C116="","",XLOOKUP(C116,'Jogos_MataMata'!$A$2:$A$33,'Jogos_MataMata'!$K$2:$K$33,""))</x:f>
      </x:c>
      <x:c r="G116" s="22" t="str"/>
      <x:c r="H116" s="22" t="str"/>
      <x:c r="I116" s="22" t="str">
        <x:f>IF(AND(G116&lt;&gt;"",H116&lt;&gt;""),"SIM","NAO")</x:f>
        <x:v>NAO</x:v>
      </x:c>
      <x:c r="J116" s="23" t="str">
        <x:f>IF(OR(C116="",G116="",H116=""),"",LET(hs,XLOOKUP(C116,'Jogos_MataMata'!$A$2:$A$33,'Jogos_MataMata'!$O$2:$O$33,""),as,XLOOKUP(C116,'Jogos_MataMata'!$A$2:$A$33,'Jogos_MataMata'!$P$2:$P$33,""),win,XLOOKUP(C116,'Jogos_MataMata'!$A$2:$A$33,'Jogos_MataMata'!$Q$2:$Q$33,""),predWin,IF(G116&gt;H116,E116,IF(H116&gt;G116,F116,"")),IF(OR(hs="",as="",win=""),"",IF(predWin=win,IF(ABS(G116-H116)=ABS(hs-as),8,3),0))))</x:f>
      </x:c>
    </x:row>
    <x:row r="117">
      <x:c r="A117" s="21" t="str"/>
      <x:c r="B117" s="22" t="str"/>
      <x:c r="C117" s="22" t="str"/>
      <x:c r="D117" s="22" t="str">
        <x:f>IF(C117="","",XLOOKUP(C117,'Jogos_MataMata'!$A$2:$A$33,'Jogos_MataMata'!$B$2:$B$33,""))</x:f>
      </x:c>
      <x:c r="E117" s="22" t="str">
        <x:f>IF(C117="","",XLOOKUP(C117,'Jogos_MataMata'!$A$2:$A$33,'Jogos_MataMata'!$J$2:$J$33,""))</x:f>
      </x:c>
      <x:c r="F117" s="22" t="str">
        <x:f>IF(C117="","",XLOOKUP(C117,'Jogos_MataMata'!$A$2:$A$33,'Jogos_MataMata'!$K$2:$K$33,""))</x:f>
      </x:c>
      <x:c r="G117" s="22" t="str"/>
      <x:c r="H117" s="22" t="str"/>
      <x:c r="I117" s="22" t="str">
        <x:f>IF(AND(G117&lt;&gt;"",H117&lt;&gt;""),"SIM","NAO")</x:f>
        <x:v>NAO</x:v>
      </x:c>
      <x:c r="J117" s="23" t="str">
        <x:f>IF(OR(C117="",G117="",H117=""),"",LET(hs,XLOOKUP(C117,'Jogos_MataMata'!$A$2:$A$33,'Jogos_MataMata'!$O$2:$O$33,""),as,XLOOKUP(C117,'Jogos_MataMata'!$A$2:$A$33,'Jogos_MataMata'!$P$2:$P$33,""),win,XLOOKUP(C117,'Jogos_MataMata'!$A$2:$A$33,'Jogos_MataMata'!$Q$2:$Q$33,""),predWin,IF(G117&gt;H117,E117,IF(H117&gt;G117,F117,"")),IF(OR(hs="",as="",win=""),"",IF(predWin=win,IF(ABS(G117-H117)=ABS(hs-as),8,3),0))))</x:f>
      </x:c>
    </x:row>
    <x:row r="118">
      <x:c r="A118" s="21" t="str"/>
      <x:c r="B118" s="22" t="str"/>
      <x:c r="C118" s="22" t="str"/>
      <x:c r="D118" s="22" t="str">
        <x:f>IF(C118="","",XLOOKUP(C118,'Jogos_MataMata'!$A$2:$A$33,'Jogos_MataMata'!$B$2:$B$33,""))</x:f>
      </x:c>
      <x:c r="E118" s="22" t="str">
        <x:f>IF(C118="","",XLOOKUP(C118,'Jogos_MataMata'!$A$2:$A$33,'Jogos_MataMata'!$J$2:$J$33,""))</x:f>
      </x:c>
      <x:c r="F118" s="22" t="str">
        <x:f>IF(C118="","",XLOOKUP(C118,'Jogos_MataMata'!$A$2:$A$33,'Jogos_MataMata'!$K$2:$K$33,""))</x:f>
      </x:c>
      <x:c r="G118" s="22" t="str"/>
      <x:c r="H118" s="22" t="str"/>
      <x:c r="I118" s="22" t="str">
        <x:f>IF(AND(G118&lt;&gt;"",H118&lt;&gt;""),"SIM","NAO")</x:f>
        <x:v>NAO</x:v>
      </x:c>
      <x:c r="J118" s="23" t="str">
        <x:f>IF(OR(C118="",G118="",H118=""),"",LET(hs,XLOOKUP(C118,'Jogos_MataMata'!$A$2:$A$33,'Jogos_MataMata'!$O$2:$O$33,""),as,XLOOKUP(C118,'Jogos_MataMata'!$A$2:$A$33,'Jogos_MataMata'!$P$2:$P$33,""),win,XLOOKUP(C118,'Jogos_MataMata'!$A$2:$A$33,'Jogos_MataMata'!$Q$2:$Q$33,""),predWin,IF(G118&gt;H118,E118,IF(H118&gt;G118,F118,"")),IF(OR(hs="",as="",win=""),"",IF(predWin=win,IF(ABS(G118-H118)=ABS(hs-as),8,3),0))))</x:f>
      </x:c>
    </x:row>
    <x:row r="119">
      <x:c r="A119" s="21" t="str"/>
      <x:c r="B119" s="22" t="str"/>
      <x:c r="C119" s="22" t="str"/>
      <x:c r="D119" s="22" t="str">
        <x:f>IF(C119="","",XLOOKUP(C119,'Jogos_MataMata'!$A$2:$A$33,'Jogos_MataMata'!$B$2:$B$33,""))</x:f>
      </x:c>
      <x:c r="E119" s="22" t="str">
        <x:f>IF(C119="","",XLOOKUP(C119,'Jogos_MataMata'!$A$2:$A$33,'Jogos_MataMata'!$J$2:$J$33,""))</x:f>
      </x:c>
      <x:c r="F119" s="22" t="str">
        <x:f>IF(C119="","",XLOOKUP(C119,'Jogos_MataMata'!$A$2:$A$33,'Jogos_MataMata'!$K$2:$K$33,""))</x:f>
      </x:c>
      <x:c r="G119" s="22" t="str"/>
      <x:c r="H119" s="22" t="str"/>
      <x:c r="I119" s="22" t="str">
        <x:f>IF(AND(G119&lt;&gt;"",H119&lt;&gt;""),"SIM","NAO")</x:f>
        <x:v>NAO</x:v>
      </x:c>
      <x:c r="J119" s="23" t="str">
        <x:f>IF(OR(C119="",G119="",H119=""),"",LET(hs,XLOOKUP(C119,'Jogos_MataMata'!$A$2:$A$33,'Jogos_MataMata'!$O$2:$O$33,""),as,XLOOKUP(C119,'Jogos_MataMata'!$A$2:$A$33,'Jogos_MataMata'!$P$2:$P$33,""),win,XLOOKUP(C119,'Jogos_MataMata'!$A$2:$A$33,'Jogos_MataMata'!$Q$2:$Q$33,""),predWin,IF(G119&gt;H119,E119,IF(H119&gt;G119,F119,"")),IF(OR(hs="",as="",win=""),"",IF(predWin=win,IF(ABS(G119-H119)=ABS(hs-as),8,3),0))))</x:f>
      </x:c>
    </x:row>
    <x:row r="120">
      <x:c r="A120" s="21" t="str"/>
      <x:c r="B120" s="22" t="str"/>
      <x:c r="C120" s="22" t="str"/>
      <x:c r="D120" s="22" t="str">
        <x:f>IF(C120="","",XLOOKUP(C120,'Jogos_MataMata'!$A$2:$A$33,'Jogos_MataMata'!$B$2:$B$33,""))</x:f>
      </x:c>
      <x:c r="E120" s="22" t="str">
        <x:f>IF(C120="","",XLOOKUP(C120,'Jogos_MataMata'!$A$2:$A$33,'Jogos_MataMata'!$J$2:$J$33,""))</x:f>
      </x:c>
      <x:c r="F120" s="22" t="str">
        <x:f>IF(C120="","",XLOOKUP(C120,'Jogos_MataMata'!$A$2:$A$33,'Jogos_MataMata'!$K$2:$K$33,""))</x:f>
      </x:c>
      <x:c r="G120" s="22" t="str"/>
      <x:c r="H120" s="22" t="str"/>
      <x:c r="I120" s="22" t="str">
        <x:f>IF(AND(G120&lt;&gt;"",H120&lt;&gt;""),"SIM","NAO")</x:f>
        <x:v>NAO</x:v>
      </x:c>
      <x:c r="J120" s="23" t="str">
        <x:f>IF(OR(C120="",G120="",H120=""),"",LET(hs,XLOOKUP(C120,'Jogos_MataMata'!$A$2:$A$33,'Jogos_MataMata'!$O$2:$O$33,""),as,XLOOKUP(C120,'Jogos_MataMata'!$A$2:$A$33,'Jogos_MataMata'!$P$2:$P$33,""),win,XLOOKUP(C120,'Jogos_MataMata'!$A$2:$A$33,'Jogos_MataMata'!$Q$2:$Q$33,""),predWin,IF(G120&gt;H120,E120,IF(H120&gt;G120,F120,"")),IF(OR(hs="",as="",win=""),"",IF(predWin=win,IF(ABS(G120-H120)=ABS(hs-as),8,3),0))))</x:f>
      </x:c>
    </x:row>
    <x:row r="121">
      <x:c r="A121" s="21" t="str"/>
      <x:c r="B121" s="22" t="str"/>
      <x:c r="C121" s="22" t="str"/>
      <x:c r="D121" s="22" t="str">
        <x:f>IF(C121="","",XLOOKUP(C121,'Jogos_MataMata'!$A$2:$A$33,'Jogos_MataMata'!$B$2:$B$33,""))</x:f>
      </x:c>
      <x:c r="E121" s="22" t="str">
        <x:f>IF(C121="","",XLOOKUP(C121,'Jogos_MataMata'!$A$2:$A$33,'Jogos_MataMata'!$J$2:$J$33,""))</x:f>
      </x:c>
      <x:c r="F121" s="22" t="str">
        <x:f>IF(C121="","",XLOOKUP(C121,'Jogos_MataMata'!$A$2:$A$33,'Jogos_MataMata'!$K$2:$K$33,""))</x:f>
      </x:c>
      <x:c r="G121" s="22" t="str"/>
      <x:c r="H121" s="22" t="str"/>
      <x:c r="I121" s="22" t="str">
        <x:f>IF(AND(G121&lt;&gt;"",H121&lt;&gt;""),"SIM","NAO")</x:f>
        <x:v>NAO</x:v>
      </x:c>
      <x:c r="J121" s="23" t="str">
        <x:f>IF(OR(C121="",G121="",H121=""),"",LET(hs,XLOOKUP(C121,'Jogos_MataMata'!$A$2:$A$33,'Jogos_MataMata'!$O$2:$O$33,""),as,XLOOKUP(C121,'Jogos_MataMata'!$A$2:$A$33,'Jogos_MataMata'!$P$2:$P$33,""),win,XLOOKUP(C121,'Jogos_MataMata'!$A$2:$A$33,'Jogos_MataMata'!$Q$2:$Q$33,""),predWin,IF(G121&gt;H121,E121,IF(H121&gt;G121,F121,"")),IF(OR(hs="",as="",win=""),"",IF(predWin=win,IF(ABS(G121-H121)=ABS(hs-as),8,3),0))))</x:f>
      </x:c>
    </x:row>
    <x:row r="122">
      <x:c r="A122" s="21" t="str"/>
      <x:c r="B122" s="22" t="str"/>
      <x:c r="C122" s="22" t="str"/>
      <x:c r="D122" s="22" t="str">
        <x:f>IF(C122="","",XLOOKUP(C122,'Jogos_MataMata'!$A$2:$A$33,'Jogos_MataMata'!$B$2:$B$33,""))</x:f>
      </x:c>
      <x:c r="E122" s="22" t="str">
        <x:f>IF(C122="","",XLOOKUP(C122,'Jogos_MataMata'!$A$2:$A$33,'Jogos_MataMata'!$J$2:$J$33,""))</x:f>
      </x:c>
      <x:c r="F122" s="22" t="str">
        <x:f>IF(C122="","",XLOOKUP(C122,'Jogos_MataMata'!$A$2:$A$33,'Jogos_MataMata'!$K$2:$K$33,""))</x:f>
      </x:c>
      <x:c r="G122" s="22" t="str"/>
      <x:c r="H122" s="22" t="str"/>
      <x:c r="I122" s="22" t="str">
        <x:f>IF(AND(G122&lt;&gt;"",H122&lt;&gt;""),"SIM","NAO")</x:f>
        <x:v>NAO</x:v>
      </x:c>
      <x:c r="J122" s="23" t="str">
        <x:f>IF(OR(C122="",G122="",H122=""),"",LET(hs,XLOOKUP(C122,'Jogos_MataMata'!$A$2:$A$33,'Jogos_MataMata'!$O$2:$O$33,""),as,XLOOKUP(C122,'Jogos_MataMata'!$A$2:$A$33,'Jogos_MataMata'!$P$2:$P$33,""),win,XLOOKUP(C122,'Jogos_MataMata'!$A$2:$A$33,'Jogos_MataMata'!$Q$2:$Q$33,""),predWin,IF(G122&gt;H122,E122,IF(H122&gt;G122,F122,"")),IF(OR(hs="",as="",win=""),"",IF(predWin=win,IF(ABS(G122-H122)=ABS(hs-as),8,3),0))))</x:f>
      </x:c>
    </x:row>
    <x:row r="123">
      <x:c r="A123" s="21" t="str"/>
      <x:c r="B123" s="22" t="str"/>
      <x:c r="C123" s="22" t="str"/>
      <x:c r="D123" s="22" t="str">
        <x:f>IF(C123="","",XLOOKUP(C123,'Jogos_MataMata'!$A$2:$A$33,'Jogos_MataMata'!$B$2:$B$33,""))</x:f>
      </x:c>
      <x:c r="E123" s="22" t="str">
        <x:f>IF(C123="","",XLOOKUP(C123,'Jogos_MataMata'!$A$2:$A$33,'Jogos_MataMata'!$J$2:$J$33,""))</x:f>
      </x:c>
      <x:c r="F123" s="22" t="str">
        <x:f>IF(C123="","",XLOOKUP(C123,'Jogos_MataMata'!$A$2:$A$33,'Jogos_MataMata'!$K$2:$K$33,""))</x:f>
      </x:c>
      <x:c r="G123" s="22" t="str"/>
      <x:c r="H123" s="22" t="str"/>
      <x:c r="I123" s="22" t="str">
        <x:f>IF(AND(G123&lt;&gt;"",H123&lt;&gt;""),"SIM","NAO")</x:f>
        <x:v>NAO</x:v>
      </x:c>
      <x:c r="J123" s="23" t="str">
        <x:f>IF(OR(C123="",G123="",H123=""),"",LET(hs,XLOOKUP(C123,'Jogos_MataMata'!$A$2:$A$33,'Jogos_MataMata'!$O$2:$O$33,""),as,XLOOKUP(C123,'Jogos_MataMata'!$A$2:$A$33,'Jogos_MataMata'!$P$2:$P$33,""),win,XLOOKUP(C123,'Jogos_MataMata'!$A$2:$A$33,'Jogos_MataMata'!$Q$2:$Q$33,""),predWin,IF(G123&gt;H123,E123,IF(H123&gt;G123,F123,"")),IF(OR(hs="",as="",win=""),"",IF(predWin=win,IF(ABS(G123-H123)=ABS(hs-as),8,3),0))))</x:f>
      </x:c>
    </x:row>
    <x:row r="124">
      <x:c r="A124" s="21" t="str"/>
      <x:c r="B124" s="22" t="str"/>
      <x:c r="C124" s="22" t="str"/>
      <x:c r="D124" s="22" t="str">
        <x:f>IF(C124="","",XLOOKUP(C124,'Jogos_MataMata'!$A$2:$A$33,'Jogos_MataMata'!$B$2:$B$33,""))</x:f>
      </x:c>
      <x:c r="E124" s="22" t="str">
        <x:f>IF(C124="","",XLOOKUP(C124,'Jogos_MataMata'!$A$2:$A$33,'Jogos_MataMata'!$J$2:$J$33,""))</x:f>
      </x:c>
      <x:c r="F124" s="22" t="str">
        <x:f>IF(C124="","",XLOOKUP(C124,'Jogos_MataMata'!$A$2:$A$33,'Jogos_MataMata'!$K$2:$K$33,""))</x:f>
      </x:c>
      <x:c r="G124" s="22" t="str"/>
      <x:c r="H124" s="22" t="str"/>
      <x:c r="I124" s="22" t="str">
        <x:f>IF(AND(G124&lt;&gt;"",H124&lt;&gt;""),"SIM","NAO")</x:f>
        <x:v>NAO</x:v>
      </x:c>
      <x:c r="J124" s="23" t="str">
        <x:f>IF(OR(C124="",G124="",H124=""),"",LET(hs,XLOOKUP(C124,'Jogos_MataMata'!$A$2:$A$33,'Jogos_MataMata'!$O$2:$O$33,""),as,XLOOKUP(C124,'Jogos_MataMata'!$A$2:$A$33,'Jogos_MataMata'!$P$2:$P$33,""),win,XLOOKUP(C124,'Jogos_MataMata'!$A$2:$A$33,'Jogos_MataMata'!$Q$2:$Q$33,""),predWin,IF(G124&gt;H124,E124,IF(H124&gt;G124,F124,"")),IF(OR(hs="",as="",win=""),"",IF(predWin=win,IF(ABS(G124-H124)=ABS(hs-as),8,3),0))))</x:f>
      </x:c>
    </x:row>
    <x:row r="125">
      <x:c r="A125" s="21" t="str"/>
      <x:c r="B125" s="22" t="str"/>
      <x:c r="C125" s="22" t="str"/>
      <x:c r="D125" s="22" t="str">
        <x:f>IF(C125="","",XLOOKUP(C125,'Jogos_MataMata'!$A$2:$A$33,'Jogos_MataMata'!$B$2:$B$33,""))</x:f>
      </x:c>
      <x:c r="E125" s="22" t="str">
        <x:f>IF(C125="","",XLOOKUP(C125,'Jogos_MataMata'!$A$2:$A$33,'Jogos_MataMata'!$J$2:$J$33,""))</x:f>
      </x:c>
      <x:c r="F125" s="22" t="str">
        <x:f>IF(C125="","",XLOOKUP(C125,'Jogos_MataMata'!$A$2:$A$33,'Jogos_MataMata'!$K$2:$K$33,""))</x:f>
      </x:c>
      <x:c r="G125" s="22" t="str"/>
      <x:c r="H125" s="22" t="str"/>
      <x:c r="I125" s="22" t="str">
        <x:f>IF(AND(G125&lt;&gt;"",H125&lt;&gt;""),"SIM","NAO")</x:f>
        <x:v>NAO</x:v>
      </x:c>
      <x:c r="J125" s="23" t="str">
        <x:f>IF(OR(C125="",G125="",H125=""),"",LET(hs,XLOOKUP(C125,'Jogos_MataMata'!$A$2:$A$33,'Jogos_MataMata'!$O$2:$O$33,""),as,XLOOKUP(C125,'Jogos_MataMata'!$A$2:$A$33,'Jogos_MataMata'!$P$2:$P$33,""),win,XLOOKUP(C125,'Jogos_MataMata'!$A$2:$A$33,'Jogos_MataMata'!$Q$2:$Q$33,""),predWin,IF(G125&gt;H125,E125,IF(H125&gt;G125,F125,"")),IF(OR(hs="",as="",win=""),"",IF(predWin=win,IF(ABS(G125-H125)=ABS(hs-as),8,3),0))))</x:f>
      </x:c>
    </x:row>
    <x:row r="126">
      <x:c r="A126" s="21" t="str"/>
      <x:c r="B126" s="22" t="str"/>
      <x:c r="C126" s="22" t="str"/>
      <x:c r="D126" s="22" t="str">
        <x:f>IF(C126="","",XLOOKUP(C126,'Jogos_MataMata'!$A$2:$A$33,'Jogos_MataMata'!$B$2:$B$33,""))</x:f>
      </x:c>
      <x:c r="E126" s="22" t="str">
        <x:f>IF(C126="","",XLOOKUP(C126,'Jogos_MataMata'!$A$2:$A$33,'Jogos_MataMata'!$J$2:$J$33,""))</x:f>
      </x:c>
      <x:c r="F126" s="22" t="str">
        <x:f>IF(C126="","",XLOOKUP(C126,'Jogos_MataMata'!$A$2:$A$33,'Jogos_MataMata'!$K$2:$K$33,""))</x:f>
      </x:c>
      <x:c r="G126" s="22" t="str"/>
      <x:c r="H126" s="22" t="str"/>
      <x:c r="I126" s="22" t="str">
        <x:f>IF(AND(G126&lt;&gt;"",H126&lt;&gt;""),"SIM","NAO")</x:f>
        <x:v>NAO</x:v>
      </x:c>
      <x:c r="J126" s="23" t="str">
        <x:f>IF(OR(C126="",G126="",H126=""),"",LET(hs,XLOOKUP(C126,'Jogos_MataMata'!$A$2:$A$33,'Jogos_MataMata'!$O$2:$O$33,""),as,XLOOKUP(C126,'Jogos_MataMata'!$A$2:$A$33,'Jogos_MataMata'!$P$2:$P$33,""),win,XLOOKUP(C126,'Jogos_MataMata'!$A$2:$A$33,'Jogos_MataMata'!$Q$2:$Q$33,""),predWin,IF(G126&gt;H126,E126,IF(H126&gt;G126,F126,"")),IF(OR(hs="",as="",win=""),"",IF(predWin=win,IF(ABS(G126-H126)=ABS(hs-as),8,3),0))))</x:f>
      </x:c>
    </x:row>
    <x:row r="127">
      <x:c r="A127" s="21" t="str"/>
      <x:c r="B127" s="22" t="str"/>
      <x:c r="C127" s="22" t="str"/>
      <x:c r="D127" s="22" t="str">
        <x:f>IF(C127="","",XLOOKUP(C127,'Jogos_MataMata'!$A$2:$A$33,'Jogos_MataMata'!$B$2:$B$33,""))</x:f>
      </x:c>
      <x:c r="E127" s="22" t="str">
        <x:f>IF(C127="","",XLOOKUP(C127,'Jogos_MataMata'!$A$2:$A$33,'Jogos_MataMata'!$J$2:$J$33,""))</x:f>
      </x:c>
      <x:c r="F127" s="22" t="str">
        <x:f>IF(C127="","",XLOOKUP(C127,'Jogos_MataMata'!$A$2:$A$33,'Jogos_MataMata'!$K$2:$K$33,""))</x:f>
      </x:c>
      <x:c r="G127" s="22" t="str"/>
      <x:c r="H127" s="22" t="str"/>
      <x:c r="I127" s="22" t="str">
        <x:f>IF(AND(G127&lt;&gt;"",H127&lt;&gt;""),"SIM","NAO")</x:f>
        <x:v>NAO</x:v>
      </x:c>
      <x:c r="J127" s="23" t="str">
        <x:f>IF(OR(C127="",G127="",H127=""),"",LET(hs,XLOOKUP(C127,'Jogos_MataMata'!$A$2:$A$33,'Jogos_MataMata'!$O$2:$O$33,""),as,XLOOKUP(C127,'Jogos_MataMata'!$A$2:$A$33,'Jogos_MataMata'!$P$2:$P$33,""),win,XLOOKUP(C127,'Jogos_MataMata'!$A$2:$A$33,'Jogos_MataMata'!$Q$2:$Q$33,""),predWin,IF(G127&gt;H127,E127,IF(H127&gt;G127,F127,"")),IF(OR(hs="",as="",win=""),"",IF(predWin=win,IF(ABS(G127-H127)=ABS(hs-as),8,3),0))))</x:f>
      </x:c>
    </x:row>
    <x:row r="128">
      <x:c r="A128" s="21" t="str"/>
      <x:c r="B128" s="22" t="str"/>
      <x:c r="C128" s="22" t="str"/>
      <x:c r="D128" s="22" t="str">
        <x:f>IF(C128="","",XLOOKUP(C128,'Jogos_MataMata'!$A$2:$A$33,'Jogos_MataMata'!$B$2:$B$33,""))</x:f>
      </x:c>
      <x:c r="E128" s="22" t="str">
        <x:f>IF(C128="","",XLOOKUP(C128,'Jogos_MataMata'!$A$2:$A$33,'Jogos_MataMata'!$J$2:$J$33,""))</x:f>
      </x:c>
      <x:c r="F128" s="22" t="str">
        <x:f>IF(C128="","",XLOOKUP(C128,'Jogos_MataMata'!$A$2:$A$33,'Jogos_MataMata'!$K$2:$K$33,""))</x:f>
      </x:c>
      <x:c r="G128" s="22" t="str"/>
      <x:c r="H128" s="22" t="str"/>
      <x:c r="I128" s="22" t="str">
        <x:f>IF(AND(G128&lt;&gt;"",H128&lt;&gt;""),"SIM","NAO")</x:f>
        <x:v>NAO</x:v>
      </x:c>
      <x:c r="J128" s="23" t="str">
        <x:f>IF(OR(C128="",G128="",H128=""),"",LET(hs,XLOOKUP(C128,'Jogos_MataMata'!$A$2:$A$33,'Jogos_MataMata'!$O$2:$O$33,""),as,XLOOKUP(C128,'Jogos_MataMata'!$A$2:$A$33,'Jogos_MataMata'!$P$2:$P$33,""),win,XLOOKUP(C128,'Jogos_MataMata'!$A$2:$A$33,'Jogos_MataMata'!$Q$2:$Q$33,""),predWin,IF(G128&gt;H128,E128,IF(H128&gt;G128,F128,"")),IF(OR(hs="",as="",win=""),"",IF(predWin=win,IF(ABS(G128-H128)=ABS(hs-as),8,3),0))))</x:f>
      </x:c>
    </x:row>
    <x:row r="129">
      <x:c r="A129" s="21" t="str"/>
      <x:c r="B129" s="22" t="str"/>
      <x:c r="C129" s="22" t="str"/>
      <x:c r="D129" s="22" t="str">
        <x:f>IF(C129="","",XLOOKUP(C129,'Jogos_MataMata'!$A$2:$A$33,'Jogos_MataMata'!$B$2:$B$33,""))</x:f>
      </x:c>
      <x:c r="E129" s="22" t="str">
        <x:f>IF(C129="","",XLOOKUP(C129,'Jogos_MataMata'!$A$2:$A$33,'Jogos_MataMata'!$J$2:$J$33,""))</x:f>
      </x:c>
      <x:c r="F129" s="22" t="str">
        <x:f>IF(C129="","",XLOOKUP(C129,'Jogos_MataMata'!$A$2:$A$33,'Jogos_MataMata'!$K$2:$K$33,""))</x:f>
      </x:c>
      <x:c r="G129" s="22" t="str"/>
      <x:c r="H129" s="22" t="str"/>
      <x:c r="I129" s="22" t="str">
        <x:f>IF(AND(G129&lt;&gt;"",H129&lt;&gt;""),"SIM","NAO")</x:f>
        <x:v>NAO</x:v>
      </x:c>
      <x:c r="J129" s="23" t="str">
        <x:f>IF(OR(C129="",G129="",H129=""),"",LET(hs,XLOOKUP(C129,'Jogos_MataMata'!$A$2:$A$33,'Jogos_MataMata'!$O$2:$O$33,""),as,XLOOKUP(C129,'Jogos_MataMata'!$A$2:$A$33,'Jogos_MataMata'!$P$2:$P$33,""),win,XLOOKUP(C129,'Jogos_MataMata'!$A$2:$A$33,'Jogos_MataMata'!$Q$2:$Q$33,""),predWin,IF(G129&gt;H129,E129,IF(H129&gt;G129,F129,"")),IF(OR(hs="",as="",win=""),"",IF(predWin=win,IF(ABS(G129-H129)=ABS(hs-as),8,3),0))))</x:f>
      </x:c>
    </x:row>
    <x:row r="130">
      <x:c r="A130" s="21" t="str"/>
      <x:c r="B130" s="22" t="str"/>
      <x:c r="C130" s="22" t="str"/>
      <x:c r="D130" s="22" t="str">
        <x:f>IF(C130="","",XLOOKUP(C130,'Jogos_MataMata'!$A$2:$A$33,'Jogos_MataMata'!$B$2:$B$33,""))</x:f>
      </x:c>
      <x:c r="E130" s="22" t="str">
        <x:f>IF(C130="","",XLOOKUP(C130,'Jogos_MataMata'!$A$2:$A$33,'Jogos_MataMata'!$J$2:$J$33,""))</x:f>
      </x:c>
      <x:c r="F130" s="22" t="str">
        <x:f>IF(C130="","",XLOOKUP(C130,'Jogos_MataMata'!$A$2:$A$33,'Jogos_MataMata'!$K$2:$K$33,""))</x:f>
      </x:c>
      <x:c r="G130" s="22" t="str"/>
      <x:c r="H130" s="22" t="str"/>
      <x:c r="I130" s="22" t="str">
        <x:f>IF(AND(G130&lt;&gt;"",H130&lt;&gt;""),"SIM","NAO")</x:f>
        <x:v>NAO</x:v>
      </x:c>
      <x:c r="J130" s="23" t="str">
        <x:f>IF(OR(C130="",G130="",H130=""),"",LET(hs,XLOOKUP(C130,'Jogos_MataMata'!$A$2:$A$33,'Jogos_MataMata'!$O$2:$O$33,""),as,XLOOKUP(C130,'Jogos_MataMata'!$A$2:$A$33,'Jogos_MataMata'!$P$2:$P$33,""),win,XLOOKUP(C130,'Jogos_MataMata'!$A$2:$A$33,'Jogos_MataMata'!$Q$2:$Q$33,""),predWin,IF(G130&gt;H130,E130,IF(H130&gt;G130,F130,"")),IF(OR(hs="",as="",win=""),"",IF(predWin=win,IF(ABS(G130-H130)=ABS(hs-as),8,3),0))))</x:f>
      </x:c>
    </x:row>
    <x:row r="131">
      <x:c r="A131" s="21" t="str"/>
      <x:c r="B131" s="22" t="str"/>
      <x:c r="C131" s="22" t="str"/>
      <x:c r="D131" s="22" t="str">
        <x:f>IF(C131="","",XLOOKUP(C131,'Jogos_MataMata'!$A$2:$A$33,'Jogos_MataMata'!$B$2:$B$33,""))</x:f>
      </x:c>
      <x:c r="E131" s="22" t="str">
        <x:f>IF(C131="","",XLOOKUP(C131,'Jogos_MataMata'!$A$2:$A$33,'Jogos_MataMata'!$J$2:$J$33,""))</x:f>
      </x:c>
      <x:c r="F131" s="22" t="str">
        <x:f>IF(C131="","",XLOOKUP(C131,'Jogos_MataMata'!$A$2:$A$33,'Jogos_MataMata'!$K$2:$K$33,""))</x:f>
      </x:c>
      <x:c r="G131" s="22" t="str"/>
      <x:c r="H131" s="22" t="str"/>
      <x:c r="I131" s="22" t="str">
        <x:f>IF(AND(G131&lt;&gt;"",H131&lt;&gt;""),"SIM","NAO")</x:f>
        <x:v>NAO</x:v>
      </x:c>
      <x:c r="J131" s="23" t="str">
        <x:f>IF(OR(C131="",G131="",H131=""),"",LET(hs,XLOOKUP(C131,'Jogos_MataMata'!$A$2:$A$33,'Jogos_MataMata'!$O$2:$O$33,""),as,XLOOKUP(C131,'Jogos_MataMata'!$A$2:$A$33,'Jogos_MataMata'!$P$2:$P$33,""),win,XLOOKUP(C131,'Jogos_MataMata'!$A$2:$A$33,'Jogos_MataMata'!$Q$2:$Q$33,""),predWin,IF(G131&gt;H131,E131,IF(H131&gt;G131,F131,"")),IF(OR(hs="",as="",win=""),"",IF(predWin=win,IF(ABS(G131-H131)=ABS(hs-as),8,3),0))))</x:f>
      </x:c>
    </x:row>
    <x:row r="132">
      <x:c r="A132" s="21" t="str"/>
      <x:c r="B132" s="22" t="str"/>
      <x:c r="C132" s="22" t="str"/>
      <x:c r="D132" s="22" t="str">
        <x:f>IF(C132="","",XLOOKUP(C132,'Jogos_MataMata'!$A$2:$A$33,'Jogos_MataMata'!$B$2:$B$33,""))</x:f>
      </x:c>
      <x:c r="E132" s="22" t="str">
        <x:f>IF(C132="","",XLOOKUP(C132,'Jogos_MataMata'!$A$2:$A$33,'Jogos_MataMata'!$J$2:$J$33,""))</x:f>
      </x:c>
      <x:c r="F132" s="22" t="str">
        <x:f>IF(C132="","",XLOOKUP(C132,'Jogos_MataMata'!$A$2:$A$33,'Jogos_MataMata'!$K$2:$K$33,""))</x:f>
      </x:c>
      <x:c r="G132" s="22" t="str"/>
      <x:c r="H132" s="22" t="str"/>
      <x:c r="I132" s="22" t="str">
        <x:f>IF(AND(G132&lt;&gt;"",H132&lt;&gt;""),"SIM","NAO")</x:f>
        <x:v>NAO</x:v>
      </x:c>
      <x:c r="J132" s="23" t="str">
        <x:f>IF(OR(C132="",G132="",H132=""),"",LET(hs,XLOOKUP(C132,'Jogos_MataMata'!$A$2:$A$33,'Jogos_MataMata'!$O$2:$O$33,""),as,XLOOKUP(C132,'Jogos_MataMata'!$A$2:$A$33,'Jogos_MataMata'!$P$2:$P$33,""),win,XLOOKUP(C132,'Jogos_MataMata'!$A$2:$A$33,'Jogos_MataMata'!$Q$2:$Q$33,""),predWin,IF(G132&gt;H132,E132,IF(H132&gt;G132,F132,"")),IF(OR(hs="",as="",win=""),"",IF(predWin=win,IF(ABS(G132-H132)=ABS(hs-as),8,3),0))))</x:f>
      </x:c>
    </x:row>
    <x:row r="133">
      <x:c r="A133" s="21" t="str"/>
      <x:c r="B133" s="22" t="str"/>
      <x:c r="C133" s="22" t="str"/>
      <x:c r="D133" s="22" t="str">
        <x:f>IF(C133="","",XLOOKUP(C133,'Jogos_MataMata'!$A$2:$A$33,'Jogos_MataMata'!$B$2:$B$33,""))</x:f>
      </x:c>
      <x:c r="E133" s="22" t="str">
        <x:f>IF(C133="","",XLOOKUP(C133,'Jogos_MataMata'!$A$2:$A$33,'Jogos_MataMata'!$J$2:$J$33,""))</x:f>
      </x:c>
      <x:c r="F133" s="22" t="str">
        <x:f>IF(C133="","",XLOOKUP(C133,'Jogos_MataMata'!$A$2:$A$33,'Jogos_MataMata'!$K$2:$K$33,""))</x:f>
      </x:c>
      <x:c r="G133" s="22" t="str"/>
      <x:c r="H133" s="22" t="str"/>
      <x:c r="I133" s="22" t="str">
        <x:f>IF(AND(G133&lt;&gt;"",H133&lt;&gt;""),"SIM","NAO")</x:f>
        <x:v>NAO</x:v>
      </x:c>
      <x:c r="J133" s="23" t="str">
        <x:f>IF(OR(C133="",G133="",H133=""),"",LET(hs,XLOOKUP(C133,'Jogos_MataMata'!$A$2:$A$33,'Jogos_MataMata'!$O$2:$O$33,""),as,XLOOKUP(C133,'Jogos_MataMata'!$A$2:$A$33,'Jogos_MataMata'!$P$2:$P$33,""),win,XLOOKUP(C133,'Jogos_MataMata'!$A$2:$A$33,'Jogos_MataMata'!$Q$2:$Q$33,""),predWin,IF(G133&gt;H133,E133,IF(H133&gt;G133,F133,"")),IF(OR(hs="",as="",win=""),"",IF(predWin=win,IF(ABS(G133-H133)=ABS(hs-as),8,3),0))))</x:f>
      </x:c>
    </x:row>
    <x:row r="134">
      <x:c r="A134" s="21" t="str"/>
      <x:c r="B134" s="22" t="str"/>
      <x:c r="C134" s="22" t="str"/>
      <x:c r="D134" s="22" t="str">
        <x:f>IF(C134="","",XLOOKUP(C134,'Jogos_MataMata'!$A$2:$A$33,'Jogos_MataMata'!$B$2:$B$33,""))</x:f>
      </x:c>
      <x:c r="E134" s="22" t="str">
        <x:f>IF(C134="","",XLOOKUP(C134,'Jogos_MataMata'!$A$2:$A$33,'Jogos_MataMata'!$J$2:$J$33,""))</x:f>
      </x:c>
      <x:c r="F134" s="22" t="str">
        <x:f>IF(C134="","",XLOOKUP(C134,'Jogos_MataMata'!$A$2:$A$33,'Jogos_MataMata'!$K$2:$K$33,""))</x:f>
      </x:c>
      <x:c r="G134" s="22" t="str"/>
      <x:c r="H134" s="22" t="str"/>
      <x:c r="I134" s="22" t="str">
        <x:f>IF(AND(G134&lt;&gt;"",H134&lt;&gt;""),"SIM","NAO")</x:f>
        <x:v>NAO</x:v>
      </x:c>
      <x:c r="J134" s="23" t="str">
        <x:f>IF(OR(C134="",G134="",H134=""),"",LET(hs,XLOOKUP(C134,'Jogos_MataMata'!$A$2:$A$33,'Jogos_MataMata'!$O$2:$O$33,""),as,XLOOKUP(C134,'Jogos_MataMata'!$A$2:$A$33,'Jogos_MataMata'!$P$2:$P$33,""),win,XLOOKUP(C134,'Jogos_MataMata'!$A$2:$A$33,'Jogos_MataMata'!$Q$2:$Q$33,""),predWin,IF(G134&gt;H134,E134,IF(H134&gt;G134,F134,"")),IF(OR(hs="",as="",win=""),"",IF(predWin=win,IF(ABS(G134-H134)=ABS(hs-as),8,3),0))))</x:f>
      </x:c>
    </x:row>
    <x:row r="135">
      <x:c r="A135" s="21" t="str"/>
      <x:c r="B135" s="22" t="str"/>
      <x:c r="C135" s="22" t="str"/>
      <x:c r="D135" s="22" t="str">
        <x:f>IF(C135="","",XLOOKUP(C135,'Jogos_MataMata'!$A$2:$A$33,'Jogos_MataMata'!$B$2:$B$33,""))</x:f>
      </x:c>
      <x:c r="E135" s="22" t="str">
        <x:f>IF(C135="","",XLOOKUP(C135,'Jogos_MataMata'!$A$2:$A$33,'Jogos_MataMata'!$J$2:$J$33,""))</x:f>
      </x:c>
      <x:c r="F135" s="22" t="str">
        <x:f>IF(C135="","",XLOOKUP(C135,'Jogos_MataMata'!$A$2:$A$33,'Jogos_MataMata'!$K$2:$K$33,""))</x:f>
      </x:c>
      <x:c r="G135" s="22" t="str"/>
      <x:c r="H135" s="22" t="str"/>
      <x:c r="I135" s="22" t="str">
        <x:f>IF(AND(G135&lt;&gt;"",H135&lt;&gt;""),"SIM","NAO")</x:f>
        <x:v>NAO</x:v>
      </x:c>
      <x:c r="J135" s="23" t="str">
        <x:f>IF(OR(C135="",G135="",H135=""),"",LET(hs,XLOOKUP(C135,'Jogos_MataMata'!$A$2:$A$33,'Jogos_MataMata'!$O$2:$O$33,""),as,XLOOKUP(C135,'Jogos_MataMata'!$A$2:$A$33,'Jogos_MataMata'!$P$2:$P$33,""),win,XLOOKUP(C135,'Jogos_MataMata'!$A$2:$A$33,'Jogos_MataMata'!$Q$2:$Q$33,""),predWin,IF(G135&gt;H135,E135,IF(H135&gt;G135,F135,"")),IF(OR(hs="",as="",win=""),"",IF(predWin=win,IF(ABS(G135-H135)=ABS(hs-as),8,3),0))))</x:f>
      </x:c>
    </x:row>
    <x:row r="136">
      <x:c r="A136" s="21" t="str"/>
      <x:c r="B136" s="22" t="str"/>
      <x:c r="C136" s="22" t="str"/>
      <x:c r="D136" s="22" t="str">
        <x:f>IF(C136="","",XLOOKUP(C136,'Jogos_MataMata'!$A$2:$A$33,'Jogos_MataMata'!$B$2:$B$33,""))</x:f>
      </x:c>
      <x:c r="E136" s="22" t="str">
        <x:f>IF(C136="","",XLOOKUP(C136,'Jogos_MataMata'!$A$2:$A$33,'Jogos_MataMata'!$J$2:$J$33,""))</x:f>
      </x:c>
      <x:c r="F136" s="22" t="str">
        <x:f>IF(C136="","",XLOOKUP(C136,'Jogos_MataMata'!$A$2:$A$33,'Jogos_MataMata'!$K$2:$K$33,""))</x:f>
      </x:c>
      <x:c r="G136" s="22" t="str"/>
      <x:c r="H136" s="22" t="str"/>
      <x:c r="I136" s="22" t="str">
        <x:f>IF(AND(G136&lt;&gt;"",H136&lt;&gt;""),"SIM","NAO")</x:f>
        <x:v>NAO</x:v>
      </x:c>
      <x:c r="J136" s="23" t="str">
        <x:f>IF(OR(C136="",G136="",H136=""),"",LET(hs,XLOOKUP(C136,'Jogos_MataMata'!$A$2:$A$33,'Jogos_MataMata'!$O$2:$O$33,""),as,XLOOKUP(C136,'Jogos_MataMata'!$A$2:$A$33,'Jogos_MataMata'!$P$2:$P$33,""),win,XLOOKUP(C136,'Jogos_MataMata'!$A$2:$A$33,'Jogos_MataMata'!$Q$2:$Q$33,""),predWin,IF(G136&gt;H136,E136,IF(H136&gt;G136,F136,"")),IF(OR(hs="",as="",win=""),"",IF(predWin=win,IF(ABS(G136-H136)=ABS(hs-as),8,3),0))))</x:f>
      </x:c>
    </x:row>
    <x:row r="137">
      <x:c r="A137" s="21" t="str"/>
      <x:c r="B137" s="22" t="str"/>
      <x:c r="C137" s="22" t="str"/>
      <x:c r="D137" s="22" t="str">
        <x:f>IF(C137="","",XLOOKUP(C137,'Jogos_MataMata'!$A$2:$A$33,'Jogos_MataMata'!$B$2:$B$33,""))</x:f>
      </x:c>
      <x:c r="E137" s="22" t="str">
        <x:f>IF(C137="","",XLOOKUP(C137,'Jogos_MataMata'!$A$2:$A$33,'Jogos_MataMata'!$J$2:$J$33,""))</x:f>
      </x:c>
      <x:c r="F137" s="22" t="str">
        <x:f>IF(C137="","",XLOOKUP(C137,'Jogos_MataMata'!$A$2:$A$33,'Jogos_MataMata'!$K$2:$K$33,""))</x:f>
      </x:c>
      <x:c r="G137" s="22" t="str"/>
      <x:c r="H137" s="22" t="str"/>
      <x:c r="I137" s="22" t="str">
        <x:f>IF(AND(G137&lt;&gt;"",H137&lt;&gt;""),"SIM","NAO")</x:f>
        <x:v>NAO</x:v>
      </x:c>
      <x:c r="J137" s="23" t="str">
        <x:f>IF(OR(C137="",G137="",H137=""),"",LET(hs,XLOOKUP(C137,'Jogos_MataMata'!$A$2:$A$33,'Jogos_MataMata'!$O$2:$O$33,""),as,XLOOKUP(C137,'Jogos_MataMata'!$A$2:$A$33,'Jogos_MataMata'!$P$2:$P$33,""),win,XLOOKUP(C137,'Jogos_MataMata'!$A$2:$A$33,'Jogos_MataMata'!$Q$2:$Q$33,""),predWin,IF(G137&gt;H137,E137,IF(H137&gt;G137,F137,"")),IF(OR(hs="",as="",win=""),"",IF(predWin=win,IF(ABS(G137-H137)=ABS(hs-as),8,3),0))))</x:f>
      </x:c>
    </x:row>
    <x:row r="138">
      <x:c r="A138" s="21" t="str"/>
      <x:c r="B138" s="22" t="str"/>
      <x:c r="C138" s="22" t="str"/>
      <x:c r="D138" s="22" t="str">
        <x:f>IF(C138="","",XLOOKUP(C138,'Jogos_MataMata'!$A$2:$A$33,'Jogos_MataMata'!$B$2:$B$33,""))</x:f>
      </x:c>
      <x:c r="E138" s="22" t="str">
        <x:f>IF(C138="","",XLOOKUP(C138,'Jogos_MataMata'!$A$2:$A$33,'Jogos_MataMata'!$J$2:$J$33,""))</x:f>
      </x:c>
      <x:c r="F138" s="22" t="str">
        <x:f>IF(C138="","",XLOOKUP(C138,'Jogos_MataMata'!$A$2:$A$33,'Jogos_MataMata'!$K$2:$K$33,""))</x:f>
      </x:c>
      <x:c r="G138" s="22" t="str"/>
      <x:c r="H138" s="22" t="str"/>
      <x:c r="I138" s="22" t="str">
        <x:f>IF(AND(G138&lt;&gt;"",H138&lt;&gt;""),"SIM","NAO")</x:f>
        <x:v>NAO</x:v>
      </x:c>
      <x:c r="J138" s="23" t="str">
        <x:f>IF(OR(C138="",G138="",H138=""),"",LET(hs,XLOOKUP(C138,'Jogos_MataMata'!$A$2:$A$33,'Jogos_MataMata'!$O$2:$O$33,""),as,XLOOKUP(C138,'Jogos_MataMata'!$A$2:$A$33,'Jogos_MataMata'!$P$2:$P$33,""),win,XLOOKUP(C138,'Jogos_MataMata'!$A$2:$A$33,'Jogos_MataMata'!$Q$2:$Q$33,""),predWin,IF(G138&gt;H138,E138,IF(H138&gt;G138,F138,"")),IF(OR(hs="",as="",win=""),"",IF(predWin=win,IF(ABS(G138-H138)=ABS(hs-as),8,3),0))))</x:f>
      </x:c>
    </x:row>
    <x:row r="139">
      <x:c r="A139" s="21" t="str"/>
      <x:c r="B139" s="22" t="str"/>
      <x:c r="C139" s="22" t="str"/>
      <x:c r="D139" s="22" t="str">
        <x:f>IF(C139="","",XLOOKUP(C139,'Jogos_MataMata'!$A$2:$A$33,'Jogos_MataMata'!$B$2:$B$33,""))</x:f>
      </x:c>
      <x:c r="E139" s="22" t="str">
        <x:f>IF(C139="","",XLOOKUP(C139,'Jogos_MataMata'!$A$2:$A$33,'Jogos_MataMata'!$J$2:$J$33,""))</x:f>
      </x:c>
      <x:c r="F139" s="22" t="str">
        <x:f>IF(C139="","",XLOOKUP(C139,'Jogos_MataMata'!$A$2:$A$33,'Jogos_MataMata'!$K$2:$K$33,""))</x:f>
      </x:c>
      <x:c r="G139" s="22" t="str"/>
      <x:c r="H139" s="22" t="str"/>
      <x:c r="I139" s="22" t="str">
        <x:f>IF(AND(G139&lt;&gt;"",H139&lt;&gt;""),"SIM","NAO")</x:f>
        <x:v>NAO</x:v>
      </x:c>
      <x:c r="J139" s="23" t="str">
        <x:f>IF(OR(C139="",G139="",H139=""),"",LET(hs,XLOOKUP(C139,'Jogos_MataMata'!$A$2:$A$33,'Jogos_MataMata'!$O$2:$O$33,""),as,XLOOKUP(C139,'Jogos_MataMata'!$A$2:$A$33,'Jogos_MataMata'!$P$2:$P$33,""),win,XLOOKUP(C139,'Jogos_MataMata'!$A$2:$A$33,'Jogos_MataMata'!$Q$2:$Q$33,""),predWin,IF(G139&gt;H139,E139,IF(H139&gt;G139,F139,"")),IF(OR(hs="",as="",win=""),"",IF(predWin=win,IF(ABS(G139-H139)=ABS(hs-as),8,3),0))))</x:f>
      </x:c>
    </x:row>
    <x:row r="140">
      <x:c r="A140" s="21" t="str"/>
      <x:c r="B140" s="22" t="str"/>
      <x:c r="C140" s="22" t="str"/>
      <x:c r="D140" s="22" t="str">
        <x:f>IF(C140="","",XLOOKUP(C140,'Jogos_MataMata'!$A$2:$A$33,'Jogos_MataMata'!$B$2:$B$33,""))</x:f>
      </x:c>
      <x:c r="E140" s="22" t="str">
        <x:f>IF(C140="","",XLOOKUP(C140,'Jogos_MataMata'!$A$2:$A$33,'Jogos_MataMata'!$J$2:$J$33,""))</x:f>
      </x:c>
      <x:c r="F140" s="22" t="str">
        <x:f>IF(C140="","",XLOOKUP(C140,'Jogos_MataMata'!$A$2:$A$33,'Jogos_MataMata'!$K$2:$K$33,""))</x:f>
      </x:c>
      <x:c r="G140" s="22" t="str"/>
      <x:c r="H140" s="22" t="str"/>
      <x:c r="I140" s="22" t="str">
        <x:f>IF(AND(G140&lt;&gt;"",H140&lt;&gt;""),"SIM","NAO")</x:f>
        <x:v>NAO</x:v>
      </x:c>
      <x:c r="J140" s="23" t="str">
        <x:f>IF(OR(C140="",G140="",H140=""),"",LET(hs,XLOOKUP(C140,'Jogos_MataMata'!$A$2:$A$33,'Jogos_MataMata'!$O$2:$O$33,""),as,XLOOKUP(C140,'Jogos_MataMata'!$A$2:$A$33,'Jogos_MataMata'!$P$2:$P$33,""),win,XLOOKUP(C140,'Jogos_MataMata'!$A$2:$A$33,'Jogos_MataMata'!$Q$2:$Q$33,""),predWin,IF(G140&gt;H140,E140,IF(H140&gt;G140,F140,"")),IF(OR(hs="",as="",win=""),"",IF(predWin=win,IF(ABS(G140-H140)=ABS(hs-as),8,3),0))))</x:f>
      </x:c>
    </x:row>
    <x:row r="141">
      <x:c r="A141" s="21" t="str"/>
      <x:c r="B141" s="22" t="str"/>
      <x:c r="C141" s="22" t="str"/>
      <x:c r="D141" s="22" t="str">
        <x:f>IF(C141="","",XLOOKUP(C141,'Jogos_MataMata'!$A$2:$A$33,'Jogos_MataMata'!$B$2:$B$33,""))</x:f>
      </x:c>
      <x:c r="E141" s="22" t="str">
        <x:f>IF(C141="","",XLOOKUP(C141,'Jogos_MataMata'!$A$2:$A$33,'Jogos_MataMata'!$J$2:$J$33,""))</x:f>
      </x:c>
      <x:c r="F141" s="22" t="str">
        <x:f>IF(C141="","",XLOOKUP(C141,'Jogos_MataMata'!$A$2:$A$33,'Jogos_MataMata'!$K$2:$K$33,""))</x:f>
      </x:c>
      <x:c r="G141" s="22" t="str"/>
      <x:c r="H141" s="22" t="str"/>
      <x:c r="I141" s="22" t="str">
        <x:f>IF(AND(G141&lt;&gt;"",H141&lt;&gt;""),"SIM","NAO")</x:f>
        <x:v>NAO</x:v>
      </x:c>
      <x:c r="J141" s="23" t="str">
        <x:f>IF(OR(C141="",G141="",H141=""),"",LET(hs,XLOOKUP(C141,'Jogos_MataMata'!$A$2:$A$33,'Jogos_MataMata'!$O$2:$O$33,""),as,XLOOKUP(C141,'Jogos_MataMata'!$A$2:$A$33,'Jogos_MataMata'!$P$2:$P$33,""),win,XLOOKUP(C141,'Jogos_MataMata'!$A$2:$A$33,'Jogos_MataMata'!$Q$2:$Q$33,""),predWin,IF(G141&gt;H141,E141,IF(H141&gt;G141,F141,"")),IF(OR(hs="",as="",win=""),"",IF(predWin=win,IF(ABS(G141-H141)=ABS(hs-as),8,3),0))))</x:f>
      </x:c>
    </x:row>
    <x:row r="142">
      <x:c r="A142" s="21" t="str"/>
      <x:c r="B142" s="22" t="str"/>
      <x:c r="C142" s="22" t="str"/>
      <x:c r="D142" s="22" t="str">
        <x:f>IF(C142="","",XLOOKUP(C142,'Jogos_MataMata'!$A$2:$A$33,'Jogos_MataMata'!$B$2:$B$33,""))</x:f>
      </x:c>
      <x:c r="E142" s="22" t="str">
        <x:f>IF(C142="","",XLOOKUP(C142,'Jogos_MataMata'!$A$2:$A$33,'Jogos_MataMata'!$J$2:$J$33,""))</x:f>
      </x:c>
      <x:c r="F142" s="22" t="str">
        <x:f>IF(C142="","",XLOOKUP(C142,'Jogos_MataMata'!$A$2:$A$33,'Jogos_MataMata'!$K$2:$K$33,""))</x:f>
      </x:c>
      <x:c r="G142" s="22" t="str"/>
      <x:c r="H142" s="22" t="str"/>
      <x:c r="I142" s="22" t="str">
        <x:f>IF(AND(G142&lt;&gt;"",H142&lt;&gt;""),"SIM","NAO")</x:f>
        <x:v>NAO</x:v>
      </x:c>
      <x:c r="J142" s="23" t="str">
        <x:f>IF(OR(C142="",G142="",H142=""),"",LET(hs,XLOOKUP(C142,'Jogos_MataMata'!$A$2:$A$33,'Jogos_MataMata'!$O$2:$O$33,""),as,XLOOKUP(C142,'Jogos_MataMata'!$A$2:$A$33,'Jogos_MataMata'!$P$2:$P$33,""),win,XLOOKUP(C142,'Jogos_MataMata'!$A$2:$A$33,'Jogos_MataMata'!$Q$2:$Q$33,""),predWin,IF(G142&gt;H142,E142,IF(H142&gt;G142,F142,"")),IF(OR(hs="",as="",win=""),"",IF(predWin=win,IF(ABS(G142-H142)=ABS(hs-as),8,3),0))))</x:f>
      </x:c>
    </x:row>
    <x:row r="143">
      <x:c r="A143" s="21" t="str"/>
      <x:c r="B143" s="22" t="str"/>
      <x:c r="C143" s="22" t="str"/>
      <x:c r="D143" s="22" t="str">
        <x:f>IF(C143="","",XLOOKUP(C143,'Jogos_MataMata'!$A$2:$A$33,'Jogos_MataMata'!$B$2:$B$33,""))</x:f>
      </x:c>
      <x:c r="E143" s="22" t="str">
        <x:f>IF(C143="","",XLOOKUP(C143,'Jogos_MataMata'!$A$2:$A$33,'Jogos_MataMata'!$J$2:$J$33,""))</x:f>
      </x:c>
      <x:c r="F143" s="22" t="str">
        <x:f>IF(C143="","",XLOOKUP(C143,'Jogos_MataMata'!$A$2:$A$33,'Jogos_MataMata'!$K$2:$K$33,""))</x:f>
      </x:c>
      <x:c r="G143" s="22" t="str"/>
      <x:c r="H143" s="22" t="str"/>
      <x:c r="I143" s="22" t="str">
        <x:f>IF(AND(G143&lt;&gt;"",H143&lt;&gt;""),"SIM","NAO")</x:f>
        <x:v>NAO</x:v>
      </x:c>
      <x:c r="J143" s="23" t="str">
        <x:f>IF(OR(C143="",G143="",H143=""),"",LET(hs,XLOOKUP(C143,'Jogos_MataMata'!$A$2:$A$33,'Jogos_MataMata'!$O$2:$O$33,""),as,XLOOKUP(C143,'Jogos_MataMata'!$A$2:$A$33,'Jogos_MataMata'!$P$2:$P$33,""),win,XLOOKUP(C143,'Jogos_MataMata'!$A$2:$A$33,'Jogos_MataMata'!$Q$2:$Q$33,""),predWin,IF(G143&gt;H143,E143,IF(H143&gt;G143,F143,"")),IF(OR(hs="",as="",win=""),"",IF(predWin=win,IF(ABS(G143-H143)=ABS(hs-as),8,3),0))))</x:f>
      </x:c>
    </x:row>
    <x:row r="144">
      <x:c r="A144" s="21" t="str"/>
      <x:c r="B144" s="22" t="str"/>
      <x:c r="C144" s="22" t="str"/>
      <x:c r="D144" s="22" t="str">
        <x:f>IF(C144="","",XLOOKUP(C144,'Jogos_MataMata'!$A$2:$A$33,'Jogos_MataMata'!$B$2:$B$33,""))</x:f>
      </x:c>
      <x:c r="E144" s="22" t="str">
        <x:f>IF(C144="","",XLOOKUP(C144,'Jogos_MataMata'!$A$2:$A$33,'Jogos_MataMata'!$J$2:$J$33,""))</x:f>
      </x:c>
      <x:c r="F144" s="22" t="str">
        <x:f>IF(C144="","",XLOOKUP(C144,'Jogos_MataMata'!$A$2:$A$33,'Jogos_MataMata'!$K$2:$K$33,""))</x:f>
      </x:c>
      <x:c r="G144" s="22" t="str"/>
      <x:c r="H144" s="22" t="str"/>
      <x:c r="I144" s="22" t="str">
        <x:f>IF(AND(G144&lt;&gt;"",H144&lt;&gt;""),"SIM","NAO")</x:f>
        <x:v>NAO</x:v>
      </x:c>
      <x:c r="J144" s="23" t="str">
        <x:f>IF(OR(C144="",G144="",H144=""),"",LET(hs,XLOOKUP(C144,'Jogos_MataMata'!$A$2:$A$33,'Jogos_MataMata'!$O$2:$O$33,""),as,XLOOKUP(C144,'Jogos_MataMata'!$A$2:$A$33,'Jogos_MataMata'!$P$2:$P$33,""),win,XLOOKUP(C144,'Jogos_MataMata'!$A$2:$A$33,'Jogos_MataMata'!$Q$2:$Q$33,""),predWin,IF(G144&gt;H144,E144,IF(H144&gt;G144,F144,"")),IF(OR(hs="",as="",win=""),"",IF(predWin=win,IF(ABS(G144-H144)=ABS(hs-as),8,3),0))))</x:f>
      </x:c>
    </x:row>
    <x:row r="145">
      <x:c r="A145" s="21" t="str"/>
      <x:c r="B145" s="22" t="str"/>
      <x:c r="C145" s="22" t="str"/>
      <x:c r="D145" s="22" t="str">
        <x:f>IF(C145="","",XLOOKUP(C145,'Jogos_MataMata'!$A$2:$A$33,'Jogos_MataMata'!$B$2:$B$33,""))</x:f>
      </x:c>
      <x:c r="E145" s="22" t="str">
        <x:f>IF(C145="","",XLOOKUP(C145,'Jogos_MataMata'!$A$2:$A$33,'Jogos_MataMata'!$J$2:$J$33,""))</x:f>
      </x:c>
      <x:c r="F145" s="22" t="str">
        <x:f>IF(C145="","",XLOOKUP(C145,'Jogos_MataMata'!$A$2:$A$33,'Jogos_MataMata'!$K$2:$K$33,""))</x:f>
      </x:c>
      <x:c r="G145" s="22" t="str"/>
      <x:c r="H145" s="22" t="str"/>
      <x:c r="I145" s="22" t="str">
        <x:f>IF(AND(G145&lt;&gt;"",H145&lt;&gt;""),"SIM","NAO")</x:f>
        <x:v>NAO</x:v>
      </x:c>
      <x:c r="J145" s="23" t="str">
        <x:f>IF(OR(C145="",G145="",H145=""),"",LET(hs,XLOOKUP(C145,'Jogos_MataMata'!$A$2:$A$33,'Jogos_MataMata'!$O$2:$O$33,""),as,XLOOKUP(C145,'Jogos_MataMata'!$A$2:$A$33,'Jogos_MataMata'!$P$2:$P$33,""),win,XLOOKUP(C145,'Jogos_MataMata'!$A$2:$A$33,'Jogos_MataMata'!$Q$2:$Q$33,""),predWin,IF(G145&gt;H145,E145,IF(H145&gt;G145,F145,"")),IF(OR(hs="",as="",win=""),"",IF(predWin=win,IF(ABS(G145-H145)=ABS(hs-as),8,3),0))))</x:f>
      </x:c>
    </x:row>
    <x:row r="146">
      <x:c r="A146" s="21" t="str"/>
      <x:c r="B146" s="22" t="str"/>
      <x:c r="C146" s="22" t="str"/>
      <x:c r="D146" s="22" t="str">
        <x:f>IF(C146="","",XLOOKUP(C146,'Jogos_MataMata'!$A$2:$A$33,'Jogos_MataMata'!$B$2:$B$33,""))</x:f>
      </x:c>
      <x:c r="E146" s="22" t="str">
        <x:f>IF(C146="","",XLOOKUP(C146,'Jogos_MataMata'!$A$2:$A$33,'Jogos_MataMata'!$J$2:$J$33,""))</x:f>
      </x:c>
      <x:c r="F146" s="22" t="str">
        <x:f>IF(C146="","",XLOOKUP(C146,'Jogos_MataMata'!$A$2:$A$33,'Jogos_MataMata'!$K$2:$K$33,""))</x:f>
      </x:c>
      <x:c r="G146" s="22" t="str"/>
      <x:c r="H146" s="22" t="str"/>
      <x:c r="I146" s="22" t="str">
        <x:f>IF(AND(G146&lt;&gt;"",H146&lt;&gt;""),"SIM","NAO")</x:f>
        <x:v>NAO</x:v>
      </x:c>
      <x:c r="J146" s="23" t="str">
        <x:f>IF(OR(C146="",G146="",H146=""),"",LET(hs,XLOOKUP(C146,'Jogos_MataMata'!$A$2:$A$33,'Jogos_MataMata'!$O$2:$O$33,""),as,XLOOKUP(C146,'Jogos_MataMata'!$A$2:$A$33,'Jogos_MataMata'!$P$2:$P$33,""),win,XLOOKUP(C146,'Jogos_MataMata'!$A$2:$A$33,'Jogos_MataMata'!$Q$2:$Q$33,""),predWin,IF(G146&gt;H146,E146,IF(H146&gt;G146,F146,"")),IF(OR(hs="",as="",win=""),"",IF(predWin=win,IF(ABS(G146-H146)=ABS(hs-as),8,3),0))))</x:f>
      </x:c>
    </x:row>
    <x:row r="147">
      <x:c r="A147" s="21" t="str"/>
      <x:c r="B147" s="22" t="str"/>
      <x:c r="C147" s="22" t="str"/>
      <x:c r="D147" s="22" t="str">
        <x:f>IF(C147="","",XLOOKUP(C147,'Jogos_MataMata'!$A$2:$A$33,'Jogos_MataMata'!$B$2:$B$33,""))</x:f>
      </x:c>
      <x:c r="E147" s="22" t="str">
        <x:f>IF(C147="","",XLOOKUP(C147,'Jogos_MataMata'!$A$2:$A$33,'Jogos_MataMata'!$J$2:$J$33,""))</x:f>
      </x:c>
      <x:c r="F147" s="22" t="str">
        <x:f>IF(C147="","",XLOOKUP(C147,'Jogos_MataMata'!$A$2:$A$33,'Jogos_MataMata'!$K$2:$K$33,""))</x:f>
      </x:c>
      <x:c r="G147" s="22" t="str"/>
      <x:c r="H147" s="22" t="str"/>
      <x:c r="I147" s="22" t="str">
        <x:f>IF(AND(G147&lt;&gt;"",H147&lt;&gt;""),"SIM","NAO")</x:f>
        <x:v>NAO</x:v>
      </x:c>
      <x:c r="J147" s="23" t="str">
        <x:f>IF(OR(C147="",G147="",H147=""),"",LET(hs,XLOOKUP(C147,'Jogos_MataMata'!$A$2:$A$33,'Jogos_MataMata'!$O$2:$O$33,""),as,XLOOKUP(C147,'Jogos_MataMata'!$A$2:$A$33,'Jogos_MataMata'!$P$2:$P$33,""),win,XLOOKUP(C147,'Jogos_MataMata'!$A$2:$A$33,'Jogos_MataMata'!$Q$2:$Q$33,""),predWin,IF(G147&gt;H147,E147,IF(H147&gt;G147,F147,"")),IF(OR(hs="",as="",win=""),"",IF(predWin=win,IF(ABS(G147-H147)=ABS(hs-as),8,3),0))))</x:f>
      </x:c>
    </x:row>
    <x:row r="148">
      <x:c r="A148" s="21" t="str"/>
      <x:c r="B148" s="22" t="str"/>
      <x:c r="C148" s="22" t="str"/>
      <x:c r="D148" s="22" t="str">
        <x:f>IF(C148="","",XLOOKUP(C148,'Jogos_MataMata'!$A$2:$A$33,'Jogos_MataMata'!$B$2:$B$33,""))</x:f>
      </x:c>
      <x:c r="E148" s="22" t="str">
        <x:f>IF(C148="","",XLOOKUP(C148,'Jogos_MataMata'!$A$2:$A$33,'Jogos_MataMata'!$J$2:$J$33,""))</x:f>
      </x:c>
      <x:c r="F148" s="22" t="str">
        <x:f>IF(C148="","",XLOOKUP(C148,'Jogos_MataMata'!$A$2:$A$33,'Jogos_MataMata'!$K$2:$K$33,""))</x:f>
      </x:c>
      <x:c r="G148" s="22" t="str"/>
      <x:c r="H148" s="22" t="str"/>
      <x:c r="I148" s="22" t="str">
        <x:f>IF(AND(G148&lt;&gt;"",H148&lt;&gt;""),"SIM","NAO")</x:f>
        <x:v>NAO</x:v>
      </x:c>
      <x:c r="J148" s="23" t="str">
        <x:f>IF(OR(C148="",G148="",H148=""),"",LET(hs,XLOOKUP(C148,'Jogos_MataMata'!$A$2:$A$33,'Jogos_MataMata'!$O$2:$O$33,""),as,XLOOKUP(C148,'Jogos_MataMata'!$A$2:$A$33,'Jogos_MataMata'!$P$2:$P$33,""),win,XLOOKUP(C148,'Jogos_MataMata'!$A$2:$A$33,'Jogos_MataMata'!$Q$2:$Q$33,""),predWin,IF(G148&gt;H148,E148,IF(H148&gt;G148,F148,"")),IF(OR(hs="",as="",win=""),"",IF(predWin=win,IF(ABS(G148-H148)=ABS(hs-as),8,3),0))))</x:f>
      </x:c>
    </x:row>
    <x:row r="149">
      <x:c r="A149" s="21" t="str"/>
      <x:c r="B149" s="22" t="str"/>
      <x:c r="C149" s="22" t="str"/>
      <x:c r="D149" s="22" t="str">
        <x:f>IF(C149="","",XLOOKUP(C149,'Jogos_MataMata'!$A$2:$A$33,'Jogos_MataMata'!$B$2:$B$33,""))</x:f>
      </x:c>
      <x:c r="E149" s="22" t="str">
        <x:f>IF(C149="","",XLOOKUP(C149,'Jogos_MataMata'!$A$2:$A$33,'Jogos_MataMata'!$J$2:$J$33,""))</x:f>
      </x:c>
      <x:c r="F149" s="22" t="str">
        <x:f>IF(C149="","",XLOOKUP(C149,'Jogos_MataMata'!$A$2:$A$33,'Jogos_MataMata'!$K$2:$K$33,""))</x:f>
      </x:c>
      <x:c r="G149" s="22" t="str"/>
      <x:c r="H149" s="22" t="str"/>
      <x:c r="I149" s="22" t="str">
        <x:f>IF(AND(G149&lt;&gt;"",H149&lt;&gt;""),"SIM","NAO")</x:f>
        <x:v>NAO</x:v>
      </x:c>
      <x:c r="J149" s="23" t="str">
        <x:f>IF(OR(C149="",G149="",H149=""),"",LET(hs,XLOOKUP(C149,'Jogos_MataMata'!$A$2:$A$33,'Jogos_MataMata'!$O$2:$O$33,""),as,XLOOKUP(C149,'Jogos_MataMata'!$A$2:$A$33,'Jogos_MataMata'!$P$2:$P$33,""),win,XLOOKUP(C149,'Jogos_MataMata'!$A$2:$A$33,'Jogos_MataMata'!$Q$2:$Q$33,""),predWin,IF(G149&gt;H149,E149,IF(H149&gt;G149,F149,"")),IF(OR(hs="",as="",win=""),"",IF(predWin=win,IF(ABS(G149-H149)=ABS(hs-as),8,3),0))))</x:f>
      </x:c>
    </x:row>
    <x:row r="150">
      <x:c r="A150" s="21" t="str"/>
      <x:c r="B150" s="22" t="str"/>
      <x:c r="C150" s="22" t="str"/>
      <x:c r="D150" s="22" t="str">
        <x:f>IF(C150="","",XLOOKUP(C150,'Jogos_MataMata'!$A$2:$A$33,'Jogos_MataMata'!$B$2:$B$33,""))</x:f>
      </x:c>
      <x:c r="E150" s="22" t="str">
        <x:f>IF(C150="","",XLOOKUP(C150,'Jogos_MataMata'!$A$2:$A$33,'Jogos_MataMata'!$J$2:$J$33,""))</x:f>
      </x:c>
      <x:c r="F150" s="22" t="str">
        <x:f>IF(C150="","",XLOOKUP(C150,'Jogos_MataMata'!$A$2:$A$33,'Jogos_MataMata'!$K$2:$K$33,""))</x:f>
      </x:c>
      <x:c r="G150" s="22" t="str"/>
      <x:c r="H150" s="22" t="str"/>
      <x:c r="I150" s="22" t="str">
        <x:f>IF(AND(G150&lt;&gt;"",H150&lt;&gt;""),"SIM","NAO")</x:f>
        <x:v>NAO</x:v>
      </x:c>
      <x:c r="J150" s="23" t="str">
        <x:f>IF(OR(C150="",G150="",H150=""),"",LET(hs,XLOOKUP(C150,'Jogos_MataMata'!$A$2:$A$33,'Jogos_MataMata'!$O$2:$O$33,""),as,XLOOKUP(C150,'Jogos_MataMata'!$A$2:$A$33,'Jogos_MataMata'!$P$2:$P$33,""),win,XLOOKUP(C150,'Jogos_MataMata'!$A$2:$A$33,'Jogos_MataMata'!$Q$2:$Q$33,""),predWin,IF(G150&gt;H150,E150,IF(H150&gt;G150,F150,"")),IF(OR(hs="",as="",win=""),"",IF(predWin=win,IF(ABS(G150-H150)=ABS(hs-as),8,3),0))))</x:f>
      </x:c>
    </x:row>
    <x:row r="151">
      <x:c r="A151" s="21" t="str"/>
      <x:c r="B151" s="22" t="str"/>
      <x:c r="C151" s="22" t="str"/>
      <x:c r="D151" s="22" t="str">
        <x:f>IF(C151="","",XLOOKUP(C151,'Jogos_MataMata'!$A$2:$A$33,'Jogos_MataMata'!$B$2:$B$33,""))</x:f>
      </x:c>
      <x:c r="E151" s="22" t="str">
        <x:f>IF(C151="","",XLOOKUP(C151,'Jogos_MataMata'!$A$2:$A$33,'Jogos_MataMata'!$J$2:$J$33,""))</x:f>
      </x:c>
      <x:c r="F151" s="22" t="str">
        <x:f>IF(C151="","",XLOOKUP(C151,'Jogos_MataMata'!$A$2:$A$33,'Jogos_MataMata'!$K$2:$K$33,""))</x:f>
      </x:c>
      <x:c r="G151" s="22" t="str"/>
      <x:c r="H151" s="22" t="str"/>
      <x:c r="I151" s="22" t="str">
        <x:f>IF(AND(G151&lt;&gt;"",H151&lt;&gt;""),"SIM","NAO")</x:f>
        <x:v>NAO</x:v>
      </x:c>
      <x:c r="J151" s="23" t="str">
        <x:f>IF(OR(C151="",G151="",H151=""),"",LET(hs,XLOOKUP(C151,'Jogos_MataMata'!$A$2:$A$33,'Jogos_MataMata'!$O$2:$O$33,""),as,XLOOKUP(C151,'Jogos_MataMata'!$A$2:$A$33,'Jogos_MataMata'!$P$2:$P$33,""),win,XLOOKUP(C151,'Jogos_MataMata'!$A$2:$A$33,'Jogos_MataMata'!$Q$2:$Q$33,""),predWin,IF(G151&gt;H151,E151,IF(H151&gt;G151,F151,"")),IF(OR(hs="",as="",win=""),"",IF(predWin=win,IF(ABS(G151-H151)=ABS(hs-as),8,3),0))))</x:f>
      </x:c>
    </x:row>
    <x:row r="152">
      <x:c r="A152" s="21" t="str"/>
      <x:c r="B152" s="22" t="str"/>
      <x:c r="C152" s="22" t="str"/>
      <x:c r="D152" s="22" t="str">
        <x:f>IF(C152="","",XLOOKUP(C152,'Jogos_MataMata'!$A$2:$A$33,'Jogos_MataMata'!$B$2:$B$33,""))</x:f>
      </x:c>
      <x:c r="E152" s="22" t="str">
        <x:f>IF(C152="","",XLOOKUP(C152,'Jogos_MataMata'!$A$2:$A$33,'Jogos_MataMata'!$J$2:$J$33,""))</x:f>
      </x:c>
      <x:c r="F152" s="22" t="str">
        <x:f>IF(C152="","",XLOOKUP(C152,'Jogos_MataMata'!$A$2:$A$33,'Jogos_MataMata'!$K$2:$K$33,""))</x:f>
      </x:c>
      <x:c r="G152" s="22" t="str"/>
      <x:c r="H152" s="22" t="str"/>
      <x:c r="I152" s="22" t="str">
        <x:f>IF(AND(G152&lt;&gt;"",H152&lt;&gt;""),"SIM","NAO")</x:f>
        <x:v>NAO</x:v>
      </x:c>
      <x:c r="J152" s="23" t="str">
        <x:f>IF(OR(C152="",G152="",H152=""),"",LET(hs,XLOOKUP(C152,'Jogos_MataMata'!$A$2:$A$33,'Jogos_MataMata'!$O$2:$O$33,""),as,XLOOKUP(C152,'Jogos_MataMata'!$A$2:$A$33,'Jogos_MataMata'!$P$2:$P$33,""),win,XLOOKUP(C152,'Jogos_MataMata'!$A$2:$A$33,'Jogos_MataMata'!$Q$2:$Q$33,""),predWin,IF(G152&gt;H152,E152,IF(H152&gt;G152,F152,"")),IF(OR(hs="",as="",win=""),"",IF(predWin=win,IF(ABS(G152-H152)=ABS(hs-as),8,3),0))))</x:f>
      </x:c>
    </x:row>
    <x:row r="153">
      <x:c r="A153" s="21" t="str"/>
      <x:c r="B153" s="22" t="str"/>
      <x:c r="C153" s="22" t="str"/>
      <x:c r="D153" s="22" t="str">
        <x:f>IF(C153="","",XLOOKUP(C153,'Jogos_MataMata'!$A$2:$A$33,'Jogos_MataMata'!$B$2:$B$33,""))</x:f>
      </x:c>
      <x:c r="E153" s="22" t="str">
        <x:f>IF(C153="","",XLOOKUP(C153,'Jogos_MataMata'!$A$2:$A$33,'Jogos_MataMata'!$J$2:$J$33,""))</x:f>
      </x:c>
      <x:c r="F153" s="22" t="str">
        <x:f>IF(C153="","",XLOOKUP(C153,'Jogos_MataMata'!$A$2:$A$33,'Jogos_MataMata'!$K$2:$K$33,""))</x:f>
      </x:c>
      <x:c r="G153" s="22" t="str"/>
      <x:c r="H153" s="22" t="str"/>
      <x:c r="I153" s="22" t="str">
        <x:f>IF(AND(G153&lt;&gt;"",H153&lt;&gt;""),"SIM","NAO")</x:f>
        <x:v>NAO</x:v>
      </x:c>
      <x:c r="J153" s="23" t="str">
        <x:f>IF(OR(C153="",G153="",H153=""),"",LET(hs,XLOOKUP(C153,'Jogos_MataMata'!$A$2:$A$33,'Jogos_MataMata'!$O$2:$O$33,""),as,XLOOKUP(C153,'Jogos_MataMata'!$A$2:$A$33,'Jogos_MataMata'!$P$2:$P$33,""),win,XLOOKUP(C153,'Jogos_MataMata'!$A$2:$A$33,'Jogos_MataMata'!$Q$2:$Q$33,""),predWin,IF(G153&gt;H153,E153,IF(H153&gt;G153,F153,"")),IF(OR(hs="",as="",win=""),"",IF(predWin=win,IF(ABS(G153-H153)=ABS(hs-as),8,3),0))))</x:f>
      </x:c>
    </x:row>
    <x:row r="154">
      <x:c r="A154" s="21" t="str"/>
      <x:c r="B154" s="22" t="str"/>
      <x:c r="C154" s="22" t="str"/>
      <x:c r="D154" s="22" t="str">
        <x:f>IF(C154="","",XLOOKUP(C154,'Jogos_MataMata'!$A$2:$A$33,'Jogos_MataMata'!$B$2:$B$33,""))</x:f>
      </x:c>
      <x:c r="E154" s="22" t="str">
        <x:f>IF(C154="","",XLOOKUP(C154,'Jogos_MataMata'!$A$2:$A$33,'Jogos_MataMata'!$J$2:$J$33,""))</x:f>
      </x:c>
      <x:c r="F154" s="22" t="str">
        <x:f>IF(C154="","",XLOOKUP(C154,'Jogos_MataMata'!$A$2:$A$33,'Jogos_MataMata'!$K$2:$K$33,""))</x:f>
      </x:c>
      <x:c r="G154" s="22" t="str"/>
      <x:c r="H154" s="22" t="str"/>
      <x:c r="I154" s="22" t="str">
        <x:f>IF(AND(G154&lt;&gt;"",H154&lt;&gt;""),"SIM","NAO")</x:f>
        <x:v>NAO</x:v>
      </x:c>
      <x:c r="J154" s="23" t="str">
        <x:f>IF(OR(C154="",G154="",H154=""),"",LET(hs,XLOOKUP(C154,'Jogos_MataMata'!$A$2:$A$33,'Jogos_MataMata'!$O$2:$O$33,""),as,XLOOKUP(C154,'Jogos_MataMata'!$A$2:$A$33,'Jogos_MataMata'!$P$2:$P$33,""),win,XLOOKUP(C154,'Jogos_MataMata'!$A$2:$A$33,'Jogos_MataMata'!$Q$2:$Q$33,""),predWin,IF(G154&gt;H154,E154,IF(H154&gt;G154,F154,"")),IF(OR(hs="",as="",win=""),"",IF(predWin=win,IF(ABS(G154-H154)=ABS(hs-as),8,3),0))))</x:f>
      </x:c>
    </x:row>
    <x:row r="155">
      <x:c r="A155" s="21" t="str"/>
      <x:c r="B155" s="22" t="str"/>
      <x:c r="C155" s="22" t="str"/>
      <x:c r="D155" s="22" t="str">
        <x:f>IF(C155="","",XLOOKUP(C155,'Jogos_MataMata'!$A$2:$A$33,'Jogos_MataMata'!$B$2:$B$33,""))</x:f>
      </x:c>
      <x:c r="E155" s="22" t="str">
        <x:f>IF(C155="","",XLOOKUP(C155,'Jogos_MataMata'!$A$2:$A$33,'Jogos_MataMata'!$J$2:$J$33,""))</x:f>
      </x:c>
      <x:c r="F155" s="22" t="str">
        <x:f>IF(C155="","",XLOOKUP(C155,'Jogos_MataMata'!$A$2:$A$33,'Jogos_MataMata'!$K$2:$K$33,""))</x:f>
      </x:c>
      <x:c r="G155" s="22" t="str"/>
      <x:c r="H155" s="22" t="str"/>
      <x:c r="I155" s="22" t="str">
        <x:f>IF(AND(G155&lt;&gt;"",H155&lt;&gt;""),"SIM","NAO")</x:f>
        <x:v>NAO</x:v>
      </x:c>
      <x:c r="J155" s="23" t="str">
        <x:f>IF(OR(C155="",G155="",H155=""),"",LET(hs,XLOOKUP(C155,'Jogos_MataMata'!$A$2:$A$33,'Jogos_MataMata'!$O$2:$O$33,""),as,XLOOKUP(C155,'Jogos_MataMata'!$A$2:$A$33,'Jogos_MataMata'!$P$2:$P$33,""),win,XLOOKUP(C155,'Jogos_MataMata'!$A$2:$A$33,'Jogos_MataMata'!$Q$2:$Q$33,""),predWin,IF(G155&gt;H155,E155,IF(H155&gt;G155,F155,"")),IF(OR(hs="",as="",win=""),"",IF(predWin=win,IF(ABS(G155-H155)=ABS(hs-as),8,3),0))))</x:f>
      </x:c>
    </x:row>
    <x:row r="156">
      <x:c r="A156" s="21" t="str"/>
      <x:c r="B156" s="22" t="str"/>
      <x:c r="C156" s="22" t="str"/>
      <x:c r="D156" s="22" t="str">
        <x:f>IF(C156="","",XLOOKUP(C156,'Jogos_MataMata'!$A$2:$A$33,'Jogos_MataMata'!$B$2:$B$33,""))</x:f>
      </x:c>
      <x:c r="E156" s="22" t="str">
        <x:f>IF(C156="","",XLOOKUP(C156,'Jogos_MataMata'!$A$2:$A$33,'Jogos_MataMata'!$J$2:$J$33,""))</x:f>
      </x:c>
      <x:c r="F156" s="22" t="str">
        <x:f>IF(C156="","",XLOOKUP(C156,'Jogos_MataMata'!$A$2:$A$33,'Jogos_MataMata'!$K$2:$K$33,""))</x:f>
      </x:c>
      <x:c r="G156" s="22" t="str"/>
      <x:c r="H156" s="22" t="str"/>
      <x:c r="I156" s="22" t="str">
        <x:f>IF(AND(G156&lt;&gt;"",H156&lt;&gt;""),"SIM","NAO")</x:f>
        <x:v>NAO</x:v>
      </x:c>
      <x:c r="J156" s="23" t="str">
        <x:f>IF(OR(C156="",G156="",H156=""),"",LET(hs,XLOOKUP(C156,'Jogos_MataMata'!$A$2:$A$33,'Jogos_MataMata'!$O$2:$O$33,""),as,XLOOKUP(C156,'Jogos_MataMata'!$A$2:$A$33,'Jogos_MataMata'!$P$2:$P$33,""),win,XLOOKUP(C156,'Jogos_MataMata'!$A$2:$A$33,'Jogos_MataMata'!$Q$2:$Q$33,""),predWin,IF(G156&gt;H156,E156,IF(H156&gt;G156,F156,"")),IF(OR(hs="",as="",win=""),"",IF(predWin=win,IF(ABS(G156-H156)=ABS(hs-as),8,3),0))))</x:f>
      </x:c>
    </x:row>
    <x:row r="157">
      <x:c r="A157" s="21" t="str"/>
      <x:c r="B157" s="22" t="str"/>
      <x:c r="C157" s="22" t="str"/>
      <x:c r="D157" s="22" t="str">
        <x:f>IF(C157="","",XLOOKUP(C157,'Jogos_MataMata'!$A$2:$A$33,'Jogos_MataMata'!$B$2:$B$33,""))</x:f>
      </x:c>
      <x:c r="E157" s="22" t="str">
        <x:f>IF(C157="","",XLOOKUP(C157,'Jogos_MataMata'!$A$2:$A$33,'Jogos_MataMata'!$J$2:$J$33,""))</x:f>
      </x:c>
      <x:c r="F157" s="22" t="str">
        <x:f>IF(C157="","",XLOOKUP(C157,'Jogos_MataMata'!$A$2:$A$33,'Jogos_MataMata'!$K$2:$K$33,""))</x:f>
      </x:c>
      <x:c r="G157" s="22" t="str"/>
      <x:c r="H157" s="22" t="str"/>
      <x:c r="I157" s="22" t="str">
        <x:f>IF(AND(G157&lt;&gt;"",H157&lt;&gt;""),"SIM","NAO")</x:f>
        <x:v>NAO</x:v>
      </x:c>
      <x:c r="J157" s="23" t="str">
        <x:f>IF(OR(C157="",G157="",H157=""),"",LET(hs,XLOOKUP(C157,'Jogos_MataMata'!$A$2:$A$33,'Jogos_MataMata'!$O$2:$O$33,""),as,XLOOKUP(C157,'Jogos_MataMata'!$A$2:$A$33,'Jogos_MataMata'!$P$2:$P$33,""),win,XLOOKUP(C157,'Jogos_MataMata'!$A$2:$A$33,'Jogos_MataMata'!$Q$2:$Q$33,""),predWin,IF(G157&gt;H157,E157,IF(H157&gt;G157,F157,"")),IF(OR(hs="",as="",win=""),"",IF(predWin=win,IF(ABS(G157-H157)=ABS(hs-as),8,3),0))))</x:f>
      </x:c>
    </x:row>
    <x:row r="158">
      <x:c r="A158" s="21" t="str"/>
      <x:c r="B158" s="22" t="str"/>
      <x:c r="C158" s="22" t="str"/>
      <x:c r="D158" s="22" t="str">
        <x:f>IF(C158="","",XLOOKUP(C158,'Jogos_MataMata'!$A$2:$A$33,'Jogos_MataMata'!$B$2:$B$33,""))</x:f>
      </x:c>
      <x:c r="E158" s="22" t="str">
        <x:f>IF(C158="","",XLOOKUP(C158,'Jogos_MataMata'!$A$2:$A$33,'Jogos_MataMata'!$J$2:$J$33,""))</x:f>
      </x:c>
      <x:c r="F158" s="22" t="str">
        <x:f>IF(C158="","",XLOOKUP(C158,'Jogos_MataMata'!$A$2:$A$33,'Jogos_MataMata'!$K$2:$K$33,""))</x:f>
      </x:c>
      <x:c r="G158" s="22" t="str"/>
      <x:c r="H158" s="22" t="str"/>
      <x:c r="I158" s="22" t="str">
        <x:f>IF(AND(G158&lt;&gt;"",H158&lt;&gt;""),"SIM","NAO")</x:f>
        <x:v>NAO</x:v>
      </x:c>
      <x:c r="J158" s="23" t="str">
        <x:f>IF(OR(C158="",G158="",H158=""),"",LET(hs,XLOOKUP(C158,'Jogos_MataMata'!$A$2:$A$33,'Jogos_MataMata'!$O$2:$O$33,""),as,XLOOKUP(C158,'Jogos_MataMata'!$A$2:$A$33,'Jogos_MataMata'!$P$2:$P$33,""),win,XLOOKUP(C158,'Jogos_MataMata'!$A$2:$A$33,'Jogos_MataMata'!$Q$2:$Q$33,""),predWin,IF(G158&gt;H158,E158,IF(H158&gt;G158,F158,"")),IF(OR(hs="",as="",win=""),"",IF(predWin=win,IF(ABS(G158-H158)=ABS(hs-as),8,3),0))))</x:f>
      </x:c>
    </x:row>
    <x:row r="159">
      <x:c r="A159" s="21" t="str"/>
      <x:c r="B159" s="22" t="str"/>
      <x:c r="C159" s="22" t="str"/>
      <x:c r="D159" s="22" t="str">
        <x:f>IF(C159="","",XLOOKUP(C159,'Jogos_MataMata'!$A$2:$A$33,'Jogos_MataMata'!$B$2:$B$33,""))</x:f>
      </x:c>
      <x:c r="E159" s="22" t="str">
        <x:f>IF(C159="","",XLOOKUP(C159,'Jogos_MataMata'!$A$2:$A$33,'Jogos_MataMata'!$J$2:$J$33,""))</x:f>
      </x:c>
      <x:c r="F159" s="22" t="str">
        <x:f>IF(C159="","",XLOOKUP(C159,'Jogos_MataMata'!$A$2:$A$33,'Jogos_MataMata'!$K$2:$K$33,""))</x:f>
      </x:c>
      <x:c r="G159" s="22" t="str"/>
      <x:c r="H159" s="22" t="str"/>
      <x:c r="I159" s="22" t="str">
        <x:f>IF(AND(G159&lt;&gt;"",H159&lt;&gt;""),"SIM","NAO")</x:f>
        <x:v>NAO</x:v>
      </x:c>
      <x:c r="J159" s="23" t="str">
        <x:f>IF(OR(C159="",G159="",H159=""),"",LET(hs,XLOOKUP(C159,'Jogos_MataMata'!$A$2:$A$33,'Jogos_MataMata'!$O$2:$O$33,""),as,XLOOKUP(C159,'Jogos_MataMata'!$A$2:$A$33,'Jogos_MataMata'!$P$2:$P$33,""),win,XLOOKUP(C159,'Jogos_MataMata'!$A$2:$A$33,'Jogos_MataMata'!$Q$2:$Q$33,""),predWin,IF(G159&gt;H159,E159,IF(H159&gt;G159,F159,"")),IF(OR(hs="",as="",win=""),"",IF(predWin=win,IF(ABS(G159-H159)=ABS(hs-as),8,3),0))))</x:f>
      </x:c>
    </x:row>
    <x:row r="160">
      <x:c r="A160" s="21" t="str"/>
      <x:c r="B160" s="22" t="str"/>
      <x:c r="C160" s="22" t="str"/>
      <x:c r="D160" s="22" t="str">
        <x:f>IF(C160="","",XLOOKUP(C160,'Jogos_MataMata'!$A$2:$A$33,'Jogos_MataMata'!$B$2:$B$33,""))</x:f>
      </x:c>
      <x:c r="E160" s="22" t="str">
        <x:f>IF(C160="","",XLOOKUP(C160,'Jogos_MataMata'!$A$2:$A$33,'Jogos_MataMata'!$J$2:$J$33,""))</x:f>
      </x:c>
      <x:c r="F160" s="22" t="str">
        <x:f>IF(C160="","",XLOOKUP(C160,'Jogos_MataMata'!$A$2:$A$33,'Jogos_MataMata'!$K$2:$K$33,""))</x:f>
      </x:c>
      <x:c r="G160" s="22" t="str"/>
      <x:c r="H160" s="22" t="str"/>
      <x:c r="I160" s="22" t="str">
        <x:f>IF(AND(G160&lt;&gt;"",H160&lt;&gt;""),"SIM","NAO")</x:f>
        <x:v>NAO</x:v>
      </x:c>
      <x:c r="J160" s="23" t="str">
        <x:f>IF(OR(C160="",G160="",H160=""),"",LET(hs,XLOOKUP(C160,'Jogos_MataMata'!$A$2:$A$33,'Jogos_MataMata'!$O$2:$O$33,""),as,XLOOKUP(C160,'Jogos_MataMata'!$A$2:$A$33,'Jogos_MataMata'!$P$2:$P$33,""),win,XLOOKUP(C160,'Jogos_MataMata'!$A$2:$A$33,'Jogos_MataMata'!$Q$2:$Q$33,""),predWin,IF(G160&gt;H160,E160,IF(H160&gt;G160,F160,"")),IF(OR(hs="",as="",win=""),"",IF(predWin=win,IF(ABS(G160-H160)=ABS(hs-as),8,3),0))))</x:f>
      </x:c>
    </x:row>
    <x:row r="161">
      <x:c r="A161" s="21" t="str"/>
      <x:c r="B161" s="22" t="str"/>
      <x:c r="C161" s="22" t="str"/>
      <x:c r="D161" s="22" t="str">
        <x:f>IF(C161="","",XLOOKUP(C161,'Jogos_MataMata'!$A$2:$A$33,'Jogos_MataMata'!$B$2:$B$33,""))</x:f>
      </x:c>
      <x:c r="E161" s="22" t="str">
        <x:f>IF(C161="","",XLOOKUP(C161,'Jogos_MataMata'!$A$2:$A$33,'Jogos_MataMata'!$J$2:$J$33,""))</x:f>
      </x:c>
      <x:c r="F161" s="22" t="str">
        <x:f>IF(C161="","",XLOOKUP(C161,'Jogos_MataMata'!$A$2:$A$33,'Jogos_MataMata'!$K$2:$K$33,""))</x:f>
      </x:c>
      <x:c r="G161" s="22" t="str"/>
      <x:c r="H161" s="22" t="str"/>
      <x:c r="I161" s="22" t="str">
        <x:f>IF(AND(G161&lt;&gt;"",H161&lt;&gt;""),"SIM","NAO")</x:f>
        <x:v>NAO</x:v>
      </x:c>
      <x:c r="J161" s="23" t="str">
        <x:f>IF(OR(C161="",G161="",H161=""),"",LET(hs,XLOOKUP(C161,'Jogos_MataMata'!$A$2:$A$33,'Jogos_MataMata'!$O$2:$O$33,""),as,XLOOKUP(C161,'Jogos_MataMata'!$A$2:$A$33,'Jogos_MataMata'!$P$2:$P$33,""),win,XLOOKUP(C161,'Jogos_MataMata'!$A$2:$A$33,'Jogos_MataMata'!$Q$2:$Q$33,""),predWin,IF(G161&gt;H161,E161,IF(H161&gt;G161,F161,"")),IF(OR(hs="",as="",win=""),"",IF(predWin=win,IF(ABS(G161-H161)=ABS(hs-as),8,3),0))))</x:f>
      </x:c>
    </x:row>
    <x:row r="162">
      <x:c r="A162" s="21" t="str"/>
      <x:c r="B162" s="22" t="str"/>
      <x:c r="C162" s="22" t="str"/>
      <x:c r="D162" s="22" t="str">
        <x:f>IF(C162="","",XLOOKUP(C162,'Jogos_MataMata'!$A$2:$A$33,'Jogos_MataMata'!$B$2:$B$33,""))</x:f>
      </x:c>
      <x:c r="E162" s="22" t="str">
        <x:f>IF(C162="","",XLOOKUP(C162,'Jogos_MataMata'!$A$2:$A$33,'Jogos_MataMata'!$J$2:$J$33,""))</x:f>
      </x:c>
      <x:c r="F162" s="22" t="str">
        <x:f>IF(C162="","",XLOOKUP(C162,'Jogos_MataMata'!$A$2:$A$33,'Jogos_MataMata'!$K$2:$K$33,""))</x:f>
      </x:c>
      <x:c r="G162" s="22" t="str"/>
      <x:c r="H162" s="22" t="str"/>
      <x:c r="I162" s="22" t="str">
        <x:f>IF(AND(G162&lt;&gt;"",H162&lt;&gt;""),"SIM","NAO")</x:f>
        <x:v>NAO</x:v>
      </x:c>
      <x:c r="J162" s="23" t="str">
        <x:f>IF(OR(C162="",G162="",H162=""),"",LET(hs,XLOOKUP(C162,'Jogos_MataMata'!$A$2:$A$33,'Jogos_MataMata'!$O$2:$O$33,""),as,XLOOKUP(C162,'Jogos_MataMata'!$A$2:$A$33,'Jogos_MataMata'!$P$2:$P$33,""),win,XLOOKUP(C162,'Jogos_MataMata'!$A$2:$A$33,'Jogos_MataMata'!$Q$2:$Q$33,""),predWin,IF(G162&gt;H162,E162,IF(H162&gt;G162,F162,"")),IF(OR(hs="",as="",win=""),"",IF(predWin=win,IF(ABS(G162-H162)=ABS(hs-as),8,3),0))))</x:f>
      </x:c>
    </x:row>
    <x:row r="163">
      <x:c r="A163" s="21" t="str"/>
      <x:c r="B163" s="22" t="str"/>
      <x:c r="C163" s="22" t="str"/>
      <x:c r="D163" s="22" t="str">
        <x:f>IF(C163="","",XLOOKUP(C163,'Jogos_MataMata'!$A$2:$A$33,'Jogos_MataMata'!$B$2:$B$33,""))</x:f>
      </x:c>
      <x:c r="E163" s="22" t="str">
        <x:f>IF(C163="","",XLOOKUP(C163,'Jogos_MataMata'!$A$2:$A$33,'Jogos_MataMata'!$J$2:$J$33,""))</x:f>
      </x:c>
      <x:c r="F163" s="22" t="str">
        <x:f>IF(C163="","",XLOOKUP(C163,'Jogos_MataMata'!$A$2:$A$33,'Jogos_MataMata'!$K$2:$K$33,""))</x:f>
      </x:c>
      <x:c r="G163" s="22" t="str"/>
      <x:c r="H163" s="22" t="str"/>
      <x:c r="I163" s="22" t="str">
        <x:f>IF(AND(G163&lt;&gt;"",H163&lt;&gt;""),"SIM","NAO")</x:f>
        <x:v>NAO</x:v>
      </x:c>
      <x:c r="J163" s="23" t="str">
        <x:f>IF(OR(C163="",G163="",H163=""),"",LET(hs,XLOOKUP(C163,'Jogos_MataMata'!$A$2:$A$33,'Jogos_MataMata'!$O$2:$O$33,""),as,XLOOKUP(C163,'Jogos_MataMata'!$A$2:$A$33,'Jogos_MataMata'!$P$2:$P$33,""),win,XLOOKUP(C163,'Jogos_MataMata'!$A$2:$A$33,'Jogos_MataMata'!$Q$2:$Q$33,""),predWin,IF(G163&gt;H163,E163,IF(H163&gt;G163,F163,"")),IF(OR(hs="",as="",win=""),"",IF(predWin=win,IF(ABS(G163-H163)=ABS(hs-as),8,3),0))))</x:f>
      </x:c>
    </x:row>
    <x:row r="164">
      <x:c r="A164" s="21" t="str"/>
      <x:c r="B164" s="22" t="str"/>
      <x:c r="C164" s="22" t="str"/>
      <x:c r="D164" s="22" t="str">
        <x:f>IF(C164="","",XLOOKUP(C164,'Jogos_MataMata'!$A$2:$A$33,'Jogos_MataMata'!$B$2:$B$33,""))</x:f>
      </x:c>
      <x:c r="E164" s="22" t="str">
        <x:f>IF(C164="","",XLOOKUP(C164,'Jogos_MataMata'!$A$2:$A$33,'Jogos_MataMata'!$J$2:$J$33,""))</x:f>
      </x:c>
      <x:c r="F164" s="22" t="str">
        <x:f>IF(C164="","",XLOOKUP(C164,'Jogos_MataMata'!$A$2:$A$33,'Jogos_MataMata'!$K$2:$K$33,""))</x:f>
      </x:c>
      <x:c r="G164" s="22" t="str"/>
      <x:c r="H164" s="22" t="str"/>
      <x:c r="I164" s="22" t="str">
        <x:f>IF(AND(G164&lt;&gt;"",H164&lt;&gt;""),"SIM","NAO")</x:f>
        <x:v>NAO</x:v>
      </x:c>
      <x:c r="J164" s="23" t="str">
        <x:f>IF(OR(C164="",G164="",H164=""),"",LET(hs,XLOOKUP(C164,'Jogos_MataMata'!$A$2:$A$33,'Jogos_MataMata'!$O$2:$O$33,""),as,XLOOKUP(C164,'Jogos_MataMata'!$A$2:$A$33,'Jogos_MataMata'!$P$2:$P$33,""),win,XLOOKUP(C164,'Jogos_MataMata'!$A$2:$A$33,'Jogos_MataMata'!$Q$2:$Q$33,""),predWin,IF(G164&gt;H164,E164,IF(H164&gt;G164,F164,"")),IF(OR(hs="",as="",win=""),"",IF(predWin=win,IF(ABS(G164-H164)=ABS(hs-as),8,3),0))))</x:f>
      </x:c>
    </x:row>
    <x:row r="165">
      <x:c r="A165" s="21" t="str"/>
      <x:c r="B165" s="22" t="str"/>
      <x:c r="C165" s="22" t="str"/>
      <x:c r="D165" s="22" t="str">
        <x:f>IF(C165="","",XLOOKUP(C165,'Jogos_MataMata'!$A$2:$A$33,'Jogos_MataMata'!$B$2:$B$33,""))</x:f>
      </x:c>
      <x:c r="E165" s="22" t="str">
        <x:f>IF(C165="","",XLOOKUP(C165,'Jogos_MataMata'!$A$2:$A$33,'Jogos_MataMata'!$J$2:$J$33,""))</x:f>
      </x:c>
      <x:c r="F165" s="22" t="str">
        <x:f>IF(C165="","",XLOOKUP(C165,'Jogos_MataMata'!$A$2:$A$33,'Jogos_MataMata'!$K$2:$K$33,""))</x:f>
      </x:c>
      <x:c r="G165" s="22" t="str"/>
      <x:c r="H165" s="22" t="str"/>
      <x:c r="I165" s="22" t="str">
        <x:f>IF(AND(G165&lt;&gt;"",H165&lt;&gt;""),"SIM","NAO")</x:f>
        <x:v>NAO</x:v>
      </x:c>
      <x:c r="J165" s="23" t="str">
        <x:f>IF(OR(C165="",G165="",H165=""),"",LET(hs,XLOOKUP(C165,'Jogos_MataMata'!$A$2:$A$33,'Jogos_MataMata'!$O$2:$O$33,""),as,XLOOKUP(C165,'Jogos_MataMata'!$A$2:$A$33,'Jogos_MataMata'!$P$2:$P$33,""),win,XLOOKUP(C165,'Jogos_MataMata'!$A$2:$A$33,'Jogos_MataMata'!$Q$2:$Q$33,""),predWin,IF(G165&gt;H165,E165,IF(H165&gt;G165,F165,"")),IF(OR(hs="",as="",win=""),"",IF(predWin=win,IF(ABS(G165-H165)=ABS(hs-as),8,3),0))))</x:f>
      </x:c>
    </x:row>
    <x:row r="166">
      <x:c r="A166" s="21" t="str"/>
      <x:c r="B166" s="22" t="str"/>
      <x:c r="C166" s="22" t="str"/>
      <x:c r="D166" s="22" t="str">
        <x:f>IF(C166="","",XLOOKUP(C166,'Jogos_MataMata'!$A$2:$A$33,'Jogos_MataMata'!$B$2:$B$33,""))</x:f>
      </x:c>
      <x:c r="E166" s="22" t="str">
        <x:f>IF(C166="","",XLOOKUP(C166,'Jogos_MataMata'!$A$2:$A$33,'Jogos_MataMata'!$J$2:$J$33,""))</x:f>
      </x:c>
      <x:c r="F166" s="22" t="str">
        <x:f>IF(C166="","",XLOOKUP(C166,'Jogos_MataMata'!$A$2:$A$33,'Jogos_MataMata'!$K$2:$K$33,""))</x:f>
      </x:c>
      <x:c r="G166" s="22" t="str"/>
      <x:c r="H166" s="22" t="str"/>
      <x:c r="I166" s="22" t="str">
        <x:f>IF(AND(G166&lt;&gt;"",H166&lt;&gt;""),"SIM","NAO")</x:f>
        <x:v>NAO</x:v>
      </x:c>
      <x:c r="J166" s="23" t="str">
        <x:f>IF(OR(C166="",G166="",H166=""),"",LET(hs,XLOOKUP(C166,'Jogos_MataMata'!$A$2:$A$33,'Jogos_MataMata'!$O$2:$O$33,""),as,XLOOKUP(C166,'Jogos_MataMata'!$A$2:$A$33,'Jogos_MataMata'!$P$2:$P$33,""),win,XLOOKUP(C166,'Jogos_MataMata'!$A$2:$A$33,'Jogos_MataMata'!$Q$2:$Q$33,""),predWin,IF(G166&gt;H166,E166,IF(H166&gt;G166,F166,"")),IF(OR(hs="",as="",win=""),"",IF(predWin=win,IF(ABS(G166-H166)=ABS(hs-as),8,3),0))))</x:f>
      </x:c>
    </x:row>
    <x:row r="167">
      <x:c r="A167" s="21" t="str"/>
      <x:c r="B167" s="22" t="str"/>
      <x:c r="C167" s="22" t="str"/>
      <x:c r="D167" s="22" t="str">
        <x:f>IF(C167="","",XLOOKUP(C167,'Jogos_MataMata'!$A$2:$A$33,'Jogos_MataMata'!$B$2:$B$33,""))</x:f>
      </x:c>
      <x:c r="E167" s="22" t="str">
        <x:f>IF(C167="","",XLOOKUP(C167,'Jogos_MataMata'!$A$2:$A$33,'Jogos_MataMata'!$J$2:$J$33,""))</x:f>
      </x:c>
      <x:c r="F167" s="22" t="str">
        <x:f>IF(C167="","",XLOOKUP(C167,'Jogos_MataMata'!$A$2:$A$33,'Jogos_MataMata'!$K$2:$K$33,""))</x:f>
      </x:c>
      <x:c r="G167" s="22" t="str"/>
      <x:c r="H167" s="22" t="str"/>
      <x:c r="I167" s="22" t="str">
        <x:f>IF(AND(G167&lt;&gt;"",H167&lt;&gt;""),"SIM","NAO")</x:f>
        <x:v>NAO</x:v>
      </x:c>
      <x:c r="J167" s="23" t="str">
        <x:f>IF(OR(C167="",G167="",H167=""),"",LET(hs,XLOOKUP(C167,'Jogos_MataMata'!$A$2:$A$33,'Jogos_MataMata'!$O$2:$O$33,""),as,XLOOKUP(C167,'Jogos_MataMata'!$A$2:$A$33,'Jogos_MataMata'!$P$2:$P$33,""),win,XLOOKUP(C167,'Jogos_MataMata'!$A$2:$A$33,'Jogos_MataMata'!$Q$2:$Q$33,""),predWin,IF(G167&gt;H167,E167,IF(H167&gt;G167,F167,"")),IF(OR(hs="",as="",win=""),"",IF(predWin=win,IF(ABS(G167-H167)=ABS(hs-as),8,3),0))))</x:f>
      </x:c>
    </x:row>
    <x:row r="168">
      <x:c r="A168" s="21" t="str"/>
      <x:c r="B168" s="22" t="str"/>
      <x:c r="C168" s="22" t="str"/>
      <x:c r="D168" s="22" t="str">
        <x:f>IF(C168="","",XLOOKUP(C168,'Jogos_MataMata'!$A$2:$A$33,'Jogos_MataMata'!$B$2:$B$33,""))</x:f>
      </x:c>
      <x:c r="E168" s="22" t="str">
        <x:f>IF(C168="","",XLOOKUP(C168,'Jogos_MataMata'!$A$2:$A$33,'Jogos_MataMata'!$J$2:$J$33,""))</x:f>
      </x:c>
      <x:c r="F168" s="22" t="str">
        <x:f>IF(C168="","",XLOOKUP(C168,'Jogos_MataMata'!$A$2:$A$33,'Jogos_MataMata'!$K$2:$K$33,""))</x:f>
      </x:c>
      <x:c r="G168" s="22" t="str"/>
      <x:c r="H168" s="22" t="str"/>
      <x:c r="I168" s="22" t="str">
        <x:f>IF(AND(G168&lt;&gt;"",H168&lt;&gt;""),"SIM","NAO")</x:f>
        <x:v>NAO</x:v>
      </x:c>
      <x:c r="J168" s="23" t="str">
        <x:f>IF(OR(C168="",G168="",H168=""),"",LET(hs,XLOOKUP(C168,'Jogos_MataMata'!$A$2:$A$33,'Jogos_MataMata'!$O$2:$O$33,""),as,XLOOKUP(C168,'Jogos_MataMata'!$A$2:$A$33,'Jogos_MataMata'!$P$2:$P$33,""),win,XLOOKUP(C168,'Jogos_MataMata'!$A$2:$A$33,'Jogos_MataMata'!$Q$2:$Q$33,""),predWin,IF(G168&gt;H168,E168,IF(H168&gt;G168,F168,"")),IF(OR(hs="",as="",win=""),"",IF(predWin=win,IF(ABS(G168-H168)=ABS(hs-as),8,3),0))))</x:f>
      </x:c>
    </x:row>
    <x:row r="169">
      <x:c r="A169" s="21" t="str"/>
      <x:c r="B169" s="22" t="str"/>
      <x:c r="C169" s="22" t="str"/>
      <x:c r="D169" s="22" t="str">
        <x:f>IF(C169="","",XLOOKUP(C169,'Jogos_MataMata'!$A$2:$A$33,'Jogos_MataMata'!$B$2:$B$33,""))</x:f>
      </x:c>
      <x:c r="E169" s="22" t="str">
        <x:f>IF(C169="","",XLOOKUP(C169,'Jogos_MataMata'!$A$2:$A$33,'Jogos_MataMata'!$J$2:$J$33,""))</x:f>
      </x:c>
      <x:c r="F169" s="22" t="str">
        <x:f>IF(C169="","",XLOOKUP(C169,'Jogos_MataMata'!$A$2:$A$33,'Jogos_MataMata'!$K$2:$K$33,""))</x:f>
      </x:c>
      <x:c r="G169" s="22" t="str"/>
      <x:c r="H169" s="22" t="str"/>
      <x:c r="I169" s="22" t="str">
        <x:f>IF(AND(G169&lt;&gt;"",H169&lt;&gt;""),"SIM","NAO")</x:f>
        <x:v>NAO</x:v>
      </x:c>
      <x:c r="J169" s="23" t="str">
        <x:f>IF(OR(C169="",G169="",H169=""),"",LET(hs,XLOOKUP(C169,'Jogos_MataMata'!$A$2:$A$33,'Jogos_MataMata'!$O$2:$O$33,""),as,XLOOKUP(C169,'Jogos_MataMata'!$A$2:$A$33,'Jogos_MataMata'!$P$2:$P$33,""),win,XLOOKUP(C169,'Jogos_MataMata'!$A$2:$A$33,'Jogos_MataMata'!$Q$2:$Q$33,""),predWin,IF(G169&gt;H169,E169,IF(H169&gt;G169,F169,"")),IF(OR(hs="",as="",win=""),"",IF(predWin=win,IF(ABS(G169-H169)=ABS(hs-as),8,3),0))))</x:f>
      </x:c>
    </x:row>
    <x:row r="170">
      <x:c r="A170" s="21" t="str"/>
      <x:c r="B170" s="22" t="str"/>
      <x:c r="C170" s="22" t="str"/>
      <x:c r="D170" s="22" t="str">
        <x:f>IF(C170="","",XLOOKUP(C170,'Jogos_MataMata'!$A$2:$A$33,'Jogos_MataMata'!$B$2:$B$33,""))</x:f>
      </x:c>
      <x:c r="E170" s="22" t="str">
        <x:f>IF(C170="","",XLOOKUP(C170,'Jogos_MataMata'!$A$2:$A$33,'Jogos_MataMata'!$J$2:$J$33,""))</x:f>
      </x:c>
      <x:c r="F170" s="22" t="str">
        <x:f>IF(C170="","",XLOOKUP(C170,'Jogos_MataMata'!$A$2:$A$33,'Jogos_MataMata'!$K$2:$K$33,""))</x:f>
      </x:c>
      <x:c r="G170" s="22" t="str"/>
      <x:c r="H170" s="22" t="str"/>
      <x:c r="I170" s="22" t="str">
        <x:f>IF(AND(G170&lt;&gt;"",H170&lt;&gt;""),"SIM","NAO")</x:f>
        <x:v>NAO</x:v>
      </x:c>
      <x:c r="J170" s="23" t="str">
        <x:f>IF(OR(C170="",G170="",H170=""),"",LET(hs,XLOOKUP(C170,'Jogos_MataMata'!$A$2:$A$33,'Jogos_MataMata'!$O$2:$O$33,""),as,XLOOKUP(C170,'Jogos_MataMata'!$A$2:$A$33,'Jogos_MataMata'!$P$2:$P$33,""),win,XLOOKUP(C170,'Jogos_MataMata'!$A$2:$A$33,'Jogos_MataMata'!$Q$2:$Q$33,""),predWin,IF(G170&gt;H170,E170,IF(H170&gt;G170,F170,"")),IF(OR(hs="",as="",win=""),"",IF(predWin=win,IF(ABS(G170-H170)=ABS(hs-as),8,3),0))))</x:f>
      </x:c>
    </x:row>
    <x:row r="171">
      <x:c r="A171" s="21" t="str"/>
      <x:c r="B171" s="22" t="str"/>
      <x:c r="C171" s="22" t="str"/>
      <x:c r="D171" s="22" t="str">
        <x:f>IF(C171="","",XLOOKUP(C171,'Jogos_MataMata'!$A$2:$A$33,'Jogos_MataMata'!$B$2:$B$33,""))</x:f>
      </x:c>
      <x:c r="E171" s="22" t="str">
        <x:f>IF(C171="","",XLOOKUP(C171,'Jogos_MataMata'!$A$2:$A$33,'Jogos_MataMata'!$J$2:$J$33,""))</x:f>
      </x:c>
      <x:c r="F171" s="22" t="str">
        <x:f>IF(C171="","",XLOOKUP(C171,'Jogos_MataMata'!$A$2:$A$33,'Jogos_MataMata'!$K$2:$K$33,""))</x:f>
      </x:c>
      <x:c r="G171" s="22" t="str"/>
      <x:c r="H171" s="22" t="str"/>
      <x:c r="I171" s="22" t="str">
        <x:f>IF(AND(G171&lt;&gt;"",H171&lt;&gt;""),"SIM","NAO")</x:f>
        <x:v>NAO</x:v>
      </x:c>
      <x:c r="J171" s="23" t="str">
        <x:f>IF(OR(C171="",G171="",H171=""),"",LET(hs,XLOOKUP(C171,'Jogos_MataMata'!$A$2:$A$33,'Jogos_MataMata'!$O$2:$O$33,""),as,XLOOKUP(C171,'Jogos_MataMata'!$A$2:$A$33,'Jogos_MataMata'!$P$2:$P$33,""),win,XLOOKUP(C171,'Jogos_MataMata'!$A$2:$A$33,'Jogos_MataMata'!$Q$2:$Q$33,""),predWin,IF(G171&gt;H171,E171,IF(H171&gt;G171,F171,"")),IF(OR(hs="",as="",win=""),"",IF(predWin=win,IF(ABS(G171-H171)=ABS(hs-as),8,3),0))))</x:f>
      </x:c>
    </x:row>
    <x:row r="172">
      <x:c r="A172" s="21" t="str"/>
      <x:c r="B172" s="22" t="str"/>
      <x:c r="C172" s="22" t="str"/>
      <x:c r="D172" s="22" t="str">
        <x:f>IF(C172="","",XLOOKUP(C172,'Jogos_MataMata'!$A$2:$A$33,'Jogos_MataMata'!$B$2:$B$33,""))</x:f>
      </x:c>
      <x:c r="E172" s="22" t="str">
        <x:f>IF(C172="","",XLOOKUP(C172,'Jogos_MataMata'!$A$2:$A$33,'Jogos_MataMata'!$J$2:$J$33,""))</x:f>
      </x:c>
      <x:c r="F172" s="22" t="str">
        <x:f>IF(C172="","",XLOOKUP(C172,'Jogos_MataMata'!$A$2:$A$33,'Jogos_MataMata'!$K$2:$K$33,""))</x:f>
      </x:c>
      <x:c r="G172" s="22" t="str"/>
      <x:c r="H172" s="22" t="str"/>
      <x:c r="I172" s="22" t="str">
        <x:f>IF(AND(G172&lt;&gt;"",H172&lt;&gt;""),"SIM","NAO")</x:f>
        <x:v>NAO</x:v>
      </x:c>
      <x:c r="J172" s="23" t="str">
        <x:f>IF(OR(C172="",G172="",H172=""),"",LET(hs,XLOOKUP(C172,'Jogos_MataMata'!$A$2:$A$33,'Jogos_MataMata'!$O$2:$O$33,""),as,XLOOKUP(C172,'Jogos_MataMata'!$A$2:$A$33,'Jogos_MataMata'!$P$2:$P$33,""),win,XLOOKUP(C172,'Jogos_MataMata'!$A$2:$A$33,'Jogos_MataMata'!$Q$2:$Q$33,""),predWin,IF(G172&gt;H172,E172,IF(H172&gt;G172,F172,"")),IF(OR(hs="",as="",win=""),"",IF(predWin=win,IF(ABS(G172-H172)=ABS(hs-as),8,3),0))))</x:f>
      </x:c>
    </x:row>
    <x:row r="173">
      <x:c r="A173" s="21" t="str"/>
      <x:c r="B173" s="22" t="str"/>
      <x:c r="C173" s="22" t="str"/>
      <x:c r="D173" s="22" t="str">
        <x:f>IF(C173="","",XLOOKUP(C173,'Jogos_MataMata'!$A$2:$A$33,'Jogos_MataMata'!$B$2:$B$33,""))</x:f>
      </x:c>
      <x:c r="E173" s="22" t="str">
        <x:f>IF(C173="","",XLOOKUP(C173,'Jogos_MataMata'!$A$2:$A$33,'Jogos_MataMata'!$J$2:$J$33,""))</x:f>
      </x:c>
      <x:c r="F173" s="22" t="str">
        <x:f>IF(C173="","",XLOOKUP(C173,'Jogos_MataMata'!$A$2:$A$33,'Jogos_MataMata'!$K$2:$K$33,""))</x:f>
      </x:c>
      <x:c r="G173" s="22" t="str"/>
      <x:c r="H173" s="22" t="str"/>
      <x:c r="I173" s="22" t="str">
        <x:f>IF(AND(G173&lt;&gt;"",H173&lt;&gt;""),"SIM","NAO")</x:f>
        <x:v>NAO</x:v>
      </x:c>
      <x:c r="J173" s="23" t="str">
        <x:f>IF(OR(C173="",G173="",H173=""),"",LET(hs,XLOOKUP(C173,'Jogos_MataMata'!$A$2:$A$33,'Jogos_MataMata'!$O$2:$O$33,""),as,XLOOKUP(C173,'Jogos_MataMata'!$A$2:$A$33,'Jogos_MataMata'!$P$2:$P$33,""),win,XLOOKUP(C173,'Jogos_MataMata'!$A$2:$A$33,'Jogos_MataMata'!$Q$2:$Q$33,""),predWin,IF(G173&gt;H173,E173,IF(H173&gt;G173,F173,"")),IF(OR(hs="",as="",win=""),"",IF(predWin=win,IF(ABS(G173-H173)=ABS(hs-as),8,3),0))))</x:f>
      </x:c>
    </x:row>
    <x:row r="174">
      <x:c r="A174" s="21" t="str"/>
      <x:c r="B174" s="22" t="str"/>
      <x:c r="C174" s="22" t="str"/>
      <x:c r="D174" s="22" t="str">
        <x:f>IF(C174="","",XLOOKUP(C174,'Jogos_MataMata'!$A$2:$A$33,'Jogos_MataMata'!$B$2:$B$33,""))</x:f>
      </x:c>
      <x:c r="E174" s="22" t="str">
        <x:f>IF(C174="","",XLOOKUP(C174,'Jogos_MataMata'!$A$2:$A$33,'Jogos_MataMata'!$J$2:$J$33,""))</x:f>
      </x:c>
      <x:c r="F174" s="22" t="str">
        <x:f>IF(C174="","",XLOOKUP(C174,'Jogos_MataMata'!$A$2:$A$33,'Jogos_MataMata'!$K$2:$K$33,""))</x:f>
      </x:c>
      <x:c r="G174" s="22" t="str"/>
      <x:c r="H174" s="22" t="str"/>
      <x:c r="I174" s="22" t="str">
        <x:f>IF(AND(G174&lt;&gt;"",H174&lt;&gt;""),"SIM","NAO")</x:f>
        <x:v>NAO</x:v>
      </x:c>
      <x:c r="J174" s="23" t="str">
        <x:f>IF(OR(C174="",G174="",H174=""),"",LET(hs,XLOOKUP(C174,'Jogos_MataMata'!$A$2:$A$33,'Jogos_MataMata'!$O$2:$O$33,""),as,XLOOKUP(C174,'Jogos_MataMata'!$A$2:$A$33,'Jogos_MataMata'!$P$2:$P$33,""),win,XLOOKUP(C174,'Jogos_MataMata'!$A$2:$A$33,'Jogos_MataMata'!$Q$2:$Q$33,""),predWin,IF(G174&gt;H174,E174,IF(H174&gt;G174,F174,"")),IF(OR(hs="",as="",win=""),"",IF(predWin=win,IF(ABS(G174-H174)=ABS(hs-as),8,3),0))))</x:f>
      </x:c>
    </x:row>
    <x:row r="175">
      <x:c r="A175" s="21" t="str"/>
      <x:c r="B175" s="22" t="str"/>
      <x:c r="C175" s="22" t="str"/>
      <x:c r="D175" s="22" t="str">
        <x:f>IF(C175="","",XLOOKUP(C175,'Jogos_MataMata'!$A$2:$A$33,'Jogos_MataMata'!$B$2:$B$33,""))</x:f>
      </x:c>
      <x:c r="E175" s="22" t="str">
        <x:f>IF(C175="","",XLOOKUP(C175,'Jogos_MataMata'!$A$2:$A$33,'Jogos_MataMata'!$J$2:$J$33,""))</x:f>
      </x:c>
      <x:c r="F175" s="22" t="str">
        <x:f>IF(C175="","",XLOOKUP(C175,'Jogos_MataMata'!$A$2:$A$33,'Jogos_MataMata'!$K$2:$K$33,""))</x:f>
      </x:c>
      <x:c r="G175" s="22" t="str"/>
      <x:c r="H175" s="22" t="str"/>
      <x:c r="I175" s="22" t="str">
        <x:f>IF(AND(G175&lt;&gt;"",H175&lt;&gt;""),"SIM","NAO")</x:f>
        <x:v>NAO</x:v>
      </x:c>
      <x:c r="J175" s="23" t="str">
        <x:f>IF(OR(C175="",G175="",H175=""),"",LET(hs,XLOOKUP(C175,'Jogos_MataMata'!$A$2:$A$33,'Jogos_MataMata'!$O$2:$O$33,""),as,XLOOKUP(C175,'Jogos_MataMata'!$A$2:$A$33,'Jogos_MataMata'!$P$2:$P$33,""),win,XLOOKUP(C175,'Jogos_MataMata'!$A$2:$A$33,'Jogos_MataMata'!$Q$2:$Q$33,""),predWin,IF(G175&gt;H175,E175,IF(H175&gt;G175,F175,"")),IF(OR(hs="",as="",win=""),"",IF(predWin=win,IF(ABS(G175-H175)=ABS(hs-as),8,3),0))))</x:f>
      </x:c>
    </x:row>
    <x:row r="176">
      <x:c r="A176" s="21" t="str"/>
      <x:c r="B176" s="22" t="str"/>
      <x:c r="C176" s="22" t="str"/>
      <x:c r="D176" s="22" t="str">
        <x:f>IF(C176="","",XLOOKUP(C176,'Jogos_MataMata'!$A$2:$A$33,'Jogos_MataMata'!$B$2:$B$33,""))</x:f>
      </x:c>
      <x:c r="E176" s="22" t="str">
        <x:f>IF(C176="","",XLOOKUP(C176,'Jogos_MataMata'!$A$2:$A$33,'Jogos_MataMata'!$J$2:$J$33,""))</x:f>
      </x:c>
      <x:c r="F176" s="22" t="str">
        <x:f>IF(C176="","",XLOOKUP(C176,'Jogos_MataMata'!$A$2:$A$33,'Jogos_MataMata'!$K$2:$K$33,""))</x:f>
      </x:c>
      <x:c r="G176" s="22" t="str"/>
      <x:c r="H176" s="22" t="str"/>
      <x:c r="I176" s="22" t="str">
        <x:f>IF(AND(G176&lt;&gt;"",H176&lt;&gt;""),"SIM","NAO")</x:f>
        <x:v>NAO</x:v>
      </x:c>
      <x:c r="J176" s="23" t="str">
        <x:f>IF(OR(C176="",G176="",H176=""),"",LET(hs,XLOOKUP(C176,'Jogos_MataMata'!$A$2:$A$33,'Jogos_MataMata'!$O$2:$O$33,""),as,XLOOKUP(C176,'Jogos_MataMata'!$A$2:$A$33,'Jogos_MataMata'!$P$2:$P$33,""),win,XLOOKUP(C176,'Jogos_MataMata'!$A$2:$A$33,'Jogos_MataMata'!$Q$2:$Q$33,""),predWin,IF(G176&gt;H176,E176,IF(H176&gt;G176,F176,"")),IF(OR(hs="",as="",win=""),"",IF(predWin=win,IF(ABS(G176-H176)=ABS(hs-as),8,3),0))))</x:f>
      </x:c>
    </x:row>
    <x:row r="177">
      <x:c r="A177" s="21" t="str"/>
      <x:c r="B177" s="22" t="str"/>
      <x:c r="C177" s="22" t="str"/>
      <x:c r="D177" s="22" t="str">
        <x:f>IF(C177="","",XLOOKUP(C177,'Jogos_MataMata'!$A$2:$A$33,'Jogos_MataMata'!$B$2:$B$33,""))</x:f>
      </x:c>
      <x:c r="E177" s="22" t="str">
        <x:f>IF(C177="","",XLOOKUP(C177,'Jogos_MataMata'!$A$2:$A$33,'Jogos_MataMata'!$J$2:$J$33,""))</x:f>
      </x:c>
      <x:c r="F177" s="22" t="str">
        <x:f>IF(C177="","",XLOOKUP(C177,'Jogos_MataMata'!$A$2:$A$33,'Jogos_MataMata'!$K$2:$K$33,""))</x:f>
      </x:c>
      <x:c r="G177" s="22" t="str"/>
      <x:c r="H177" s="22" t="str"/>
      <x:c r="I177" s="22" t="str">
        <x:f>IF(AND(G177&lt;&gt;"",H177&lt;&gt;""),"SIM","NAO")</x:f>
        <x:v>NAO</x:v>
      </x:c>
      <x:c r="J177" s="23" t="str">
        <x:f>IF(OR(C177="",G177="",H177=""),"",LET(hs,XLOOKUP(C177,'Jogos_MataMata'!$A$2:$A$33,'Jogos_MataMata'!$O$2:$O$33,""),as,XLOOKUP(C177,'Jogos_MataMata'!$A$2:$A$33,'Jogos_MataMata'!$P$2:$P$33,""),win,XLOOKUP(C177,'Jogos_MataMata'!$A$2:$A$33,'Jogos_MataMata'!$Q$2:$Q$33,""),predWin,IF(G177&gt;H177,E177,IF(H177&gt;G177,F177,"")),IF(OR(hs="",as="",win=""),"",IF(predWin=win,IF(ABS(G177-H177)=ABS(hs-as),8,3),0))))</x:f>
      </x:c>
    </x:row>
    <x:row r="178">
      <x:c r="A178" s="21" t="str"/>
      <x:c r="B178" s="22" t="str"/>
      <x:c r="C178" s="22" t="str"/>
      <x:c r="D178" s="22" t="str">
        <x:f>IF(C178="","",XLOOKUP(C178,'Jogos_MataMata'!$A$2:$A$33,'Jogos_MataMata'!$B$2:$B$33,""))</x:f>
      </x:c>
      <x:c r="E178" s="22" t="str">
        <x:f>IF(C178="","",XLOOKUP(C178,'Jogos_MataMata'!$A$2:$A$33,'Jogos_MataMata'!$J$2:$J$33,""))</x:f>
      </x:c>
      <x:c r="F178" s="22" t="str">
        <x:f>IF(C178="","",XLOOKUP(C178,'Jogos_MataMata'!$A$2:$A$33,'Jogos_MataMata'!$K$2:$K$33,""))</x:f>
      </x:c>
      <x:c r="G178" s="22" t="str"/>
      <x:c r="H178" s="22" t="str"/>
      <x:c r="I178" s="22" t="str">
        <x:f>IF(AND(G178&lt;&gt;"",H178&lt;&gt;""),"SIM","NAO")</x:f>
        <x:v>NAO</x:v>
      </x:c>
      <x:c r="J178" s="23" t="str">
        <x:f>IF(OR(C178="",G178="",H178=""),"",LET(hs,XLOOKUP(C178,'Jogos_MataMata'!$A$2:$A$33,'Jogos_MataMata'!$O$2:$O$33,""),as,XLOOKUP(C178,'Jogos_MataMata'!$A$2:$A$33,'Jogos_MataMata'!$P$2:$P$33,""),win,XLOOKUP(C178,'Jogos_MataMata'!$A$2:$A$33,'Jogos_MataMata'!$Q$2:$Q$33,""),predWin,IF(G178&gt;H178,E178,IF(H178&gt;G178,F178,"")),IF(OR(hs="",as="",win=""),"",IF(predWin=win,IF(ABS(G178-H178)=ABS(hs-as),8,3),0))))</x:f>
      </x:c>
    </x:row>
    <x:row r="179">
      <x:c r="A179" s="21" t="str"/>
      <x:c r="B179" s="22" t="str"/>
      <x:c r="C179" s="22" t="str"/>
      <x:c r="D179" s="22" t="str">
        <x:f>IF(C179="","",XLOOKUP(C179,'Jogos_MataMata'!$A$2:$A$33,'Jogos_MataMata'!$B$2:$B$33,""))</x:f>
      </x:c>
      <x:c r="E179" s="22" t="str">
        <x:f>IF(C179="","",XLOOKUP(C179,'Jogos_MataMata'!$A$2:$A$33,'Jogos_MataMata'!$J$2:$J$33,""))</x:f>
      </x:c>
      <x:c r="F179" s="22" t="str">
        <x:f>IF(C179="","",XLOOKUP(C179,'Jogos_MataMata'!$A$2:$A$33,'Jogos_MataMata'!$K$2:$K$33,""))</x:f>
      </x:c>
      <x:c r="G179" s="22" t="str"/>
      <x:c r="H179" s="22" t="str"/>
      <x:c r="I179" s="22" t="str">
        <x:f>IF(AND(G179&lt;&gt;"",H179&lt;&gt;""),"SIM","NAO")</x:f>
        <x:v>NAO</x:v>
      </x:c>
      <x:c r="J179" s="23" t="str">
        <x:f>IF(OR(C179="",G179="",H179=""),"",LET(hs,XLOOKUP(C179,'Jogos_MataMata'!$A$2:$A$33,'Jogos_MataMata'!$O$2:$O$33,""),as,XLOOKUP(C179,'Jogos_MataMata'!$A$2:$A$33,'Jogos_MataMata'!$P$2:$P$33,""),win,XLOOKUP(C179,'Jogos_MataMata'!$A$2:$A$33,'Jogos_MataMata'!$Q$2:$Q$33,""),predWin,IF(G179&gt;H179,E179,IF(H179&gt;G179,F179,"")),IF(OR(hs="",as="",win=""),"",IF(predWin=win,IF(ABS(G179-H179)=ABS(hs-as),8,3),0))))</x:f>
      </x:c>
    </x:row>
    <x:row r="180">
      <x:c r="A180" s="21" t="str"/>
      <x:c r="B180" s="22" t="str"/>
      <x:c r="C180" s="22" t="str"/>
      <x:c r="D180" s="22" t="str">
        <x:f>IF(C180="","",XLOOKUP(C180,'Jogos_MataMata'!$A$2:$A$33,'Jogos_MataMata'!$B$2:$B$33,""))</x:f>
      </x:c>
      <x:c r="E180" s="22" t="str">
        <x:f>IF(C180="","",XLOOKUP(C180,'Jogos_MataMata'!$A$2:$A$33,'Jogos_MataMata'!$J$2:$J$33,""))</x:f>
      </x:c>
      <x:c r="F180" s="22" t="str">
        <x:f>IF(C180="","",XLOOKUP(C180,'Jogos_MataMata'!$A$2:$A$33,'Jogos_MataMata'!$K$2:$K$33,""))</x:f>
      </x:c>
      <x:c r="G180" s="22" t="str"/>
      <x:c r="H180" s="22" t="str"/>
      <x:c r="I180" s="22" t="str">
        <x:f>IF(AND(G180&lt;&gt;"",H180&lt;&gt;""),"SIM","NAO")</x:f>
        <x:v>NAO</x:v>
      </x:c>
      <x:c r="J180" s="23" t="str">
        <x:f>IF(OR(C180="",G180="",H180=""),"",LET(hs,XLOOKUP(C180,'Jogos_MataMata'!$A$2:$A$33,'Jogos_MataMata'!$O$2:$O$33,""),as,XLOOKUP(C180,'Jogos_MataMata'!$A$2:$A$33,'Jogos_MataMata'!$P$2:$P$33,""),win,XLOOKUP(C180,'Jogos_MataMata'!$A$2:$A$33,'Jogos_MataMata'!$Q$2:$Q$33,""),predWin,IF(G180&gt;H180,E180,IF(H180&gt;G180,F180,"")),IF(OR(hs="",as="",win=""),"",IF(predWin=win,IF(ABS(G180-H180)=ABS(hs-as),8,3),0))))</x:f>
      </x:c>
    </x:row>
    <x:row r="181">
      <x:c r="A181" s="21" t="str"/>
      <x:c r="B181" s="22" t="str"/>
      <x:c r="C181" s="22" t="str"/>
      <x:c r="D181" s="22" t="str">
        <x:f>IF(C181="","",XLOOKUP(C181,'Jogos_MataMata'!$A$2:$A$33,'Jogos_MataMata'!$B$2:$B$33,""))</x:f>
      </x:c>
      <x:c r="E181" s="22" t="str">
        <x:f>IF(C181="","",XLOOKUP(C181,'Jogos_MataMata'!$A$2:$A$33,'Jogos_MataMata'!$J$2:$J$33,""))</x:f>
      </x:c>
      <x:c r="F181" s="22" t="str">
        <x:f>IF(C181="","",XLOOKUP(C181,'Jogos_MataMata'!$A$2:$A$33,'Jogos_MataMata'!$K$2:$K$33,""))</x:f>
      </x:c>
      <x:c r="G181" s="22" t="str"/>
      <x:c r="H181" s="22" t="str"/>
      <x:c r="I181" s="22" t="str">
        <x:f>IF(AND(G181&lt;&gt;"",H181&lt;&gt;""),"SIM","NAO")</x:f>
        <x:v>NAO</x:v>
      </x:c>
      <x:c r="J181" s="23" t="str">
        <x:f>IF(OR(C181="",G181="",H181=""),"",LET(hs,XLOOKUP(C181,'Jogos_MataMata'!$A$2:$A$33,'Jogos_MataMata'!$O$2:$O$33,""),as,XLOOKUP(C181,'Jogos_MataMata'!$A$2:$A$33,'Jogos_MataMata'!$P$2:$P$33,""),win,XLOOKUP(C181,'Jogos_MataMata'!$A$2:$A$33,'Jogos_MataMata'!$Q$2:$Q$33,""),predWin,IF(G181&gt;H181,E181,IF(H181&gt;G181,F181,"")),IF(OR(hs="",as="",win=""),"",IF(predWin=win,IF(ABS(G181-H181)=ABS(hs-as),8,3),0))))</x:f>
      </x:c>
    </x:row>
    <x:row r="182">
      <x:c r="A182" s="21" t="str"/>
      <x:c r="B182" s="22" t="str"/>
      <x:c r="C182" s="22" t="str"/>
      <x:c r="D182" s="22" t="str">
        <x:f>IF(C182="","",XLOOKUP(C182,'Jogos_MataMata'!$A$2:$A$33,'Jogos_MataMata'!$B$2:$B$33,""))</x:f>
      </x:c>
      <x:c r="E182" s="22" t="str">
        <x:f>IF(C182="","",XLOOKUP(C182,'Jogos_MataMata'!$A$2:$A$33,'Jogos_MataMata'!$J$2:$J$33,""))</x:f>
      </x:c>
      <x:c r="F182" s="22" t="str">
        <x:f>IF(C182="","",XLOOKUP(C182,'Jogos_MataMata'!$A$2:$A$33,'Jogos_MataMata'!$K$2:$K$33,""))</x:f>
      </x:c>
      <x:c r="G182" s="22" t="str"/>
      <x:c r="H182" s="22" t="str"/>
      <x:c r="I182" s="22" t="str">
        <x:f>IF(AND(G182&lt;&gt;"",H182&lt;&gt;""),"SIM","NAO")</x:f>
        <x:v>NAO</x:v>
      </x:c>
      <x:c r="J182" s="23" t="str">
        <x:f>IF(OR(C182="",G182="",H182=""),"",LET(hs,XLOOKUP(C182,'Jogos_MataMata'!$A$2:$A$33,'Jogos_MataMata'!$O$2:$O$33,""),as,XLOOKUP(C182,'Jogos_MataMata'!$A$2:$A$33,'Jogos_MataMata'!$P$2:$P$33,""),win,XLOOKUP(C182,'Jogos_MataMata'!$A$2:$A$33,'Jogos_MataMata'!$Q$2:$Q$33,""),predWin,IF(G182&gt;H182,E182,IF(H182&gt;G182,F182,"")),IF(OR(hs="",as="",win=""),"",IF(predWin=win,IF(ABS(G182-H182)=ABS(hs-as),8,3),0))))</x:f>
      </x:c>
    </x:row>
    <x:row r="183">
      <x:c r="A183" s="21" t="str"/>
      <x:c r="B183" s="22" t="str"/>
      <x:c r="C183" s="22" t="str"/>
      <x:c r="D183" s="22" t="str">
        <x:f>IF(C183="","",XLOOKUP(C183,'Jogos_MataMata'!$A$2:$A$33,'Jogos_MataMata'!$B$2:$B$33,""))</x:f>
      </x:c>
      <x:c r="E183" s="22" t="str">
        <x:f>IF(C183="","",XLOOKUP(C183,'Jogos_MataMata'!$A$2:$A$33,'Jogos_MataMata'!$J$2:$J$33,""))</x:f>
      </x:c>
      <x:c r="F183" s="22" t="str">
        <x:f>IF(C183="","",XLOOKUP(C183,'Jogos_MataMata'!$A$2:$A$33,'Jogos_MataMata'!$K$2:$K$33,""))</x:f>
      </x:c>
      <x:c r="G183" s="22" t="str"/>
      <x:c r="H183" s="22" t="str"/>
      <x:c r="I183" s="22" t="str">
        <x:f>IF(AND(G183&lt;&gt;"",H183&lt;&gt;""),"SIM","NAO")</x:f>
        <x:v>NAO</x:v>
      </x:c>
      <x:c r="J183" s="23" t="str">
        <x:f>IF(OR(C183="",G183="",H183=""),"",LET(hs,XLOOKUP(C183,'Jogos_MataMata'!$A$2:$A$33,'Jogos_MataMata'!$O$2:$O$33,""),as,XLOOKUP(C183,'Jogos_MataMata'!$A$2:$A$33,'Jogos_MataMata'!$P$2:$P$33,""),win,XLOOKUP(C183,'Jogos_MataMata'!$A$2:$A$33,'Jogos_MataMata'!$Q$2:$Q$33,""),predWin,IF(G183&gt;H183,E183,IF(H183&gt;G183,F183,"")),IF(OR(hs="",as="",win=""),"",IF(predWin=win,IF(ABS(G183-H183)=ABS(hs-as),8,3),0))))</x:f>
      </x:c>
    </x:row>
    <x:row r="184">
      <x:c r="A184" s="21" t="str"/>
      <x:c r="B184" s="22" t="str"/>
      <x:c r="C184" s="22" t="str"/>
      <x:c r="D184" s="22" t="str">
        <x:f>IF(C184="","",XLOOKUP(C184,'Jogos_MataMata'!$A$2:$A$33,'Jogos_MataMata'!$B$2:$B$33,""))</x:f>
      </x:c>
      <x:c r="E184" s="22" t="str">
        <x:f>IF(C184="","",XLOOKUP(C184,'Jogos_MataMata'!$A$2:$A$33,'Jogos_MataMata'!$J$2:$J$33,""))</x:f>
      </x:c>
      <x:c r="F184" s="22" t="str">
        <x:f>IF(C184="","",XLOOKUP(C184,'Jogos_MataMata'!$A$2:$A$33,'Jogos_MataMata'!$K$2:$K$33,""))</x:f>
      </x:c>
      <x:c r="G184" s="22" t="str"/>
      <x:c r="H184" s="22" t="str"/>
      <x:c r="I184" s="22" t="str">
        <x:f>IF(AND(G184&lt;&gt;"",H184&lt;&gt;""),"SIM","NAO")</x:f>
        <x:v>NAO</x:v>
      </x:c>
      <x:c r="J184" s="23" t="str">
        <x:f>IF(OR(C184="",G184="",H184=""),"",LET(hs,XLOOKUP(C184,'Jogos_MataMata'!$A$2:$A$33,'Jogos_MataMata'!$O$2:$O$33,""),as,XLOOKUP(C184,'Jogos_MataMata'!$A$2:$A$33,'Jogos_MataMata'!$P$2:$P$33,""),win,XLOOKUP(C184,'Jogos_MataMata'!$A$2:$A$33,'Jogos_MataMata'!$Q$2:$Q$33,""),predWin,IF(G184&gt;H184,E184,IF(H184&gt;G184,F184,"")),IF(OR(hs="",as="",win=""),"",IF(predWin=win,IF(ABS(G184-H184)=ABS(hs-as),8,3),0))))</x:f>
      </x:c>
    </x:row>
    <x:row r="185">
      <x:c r="A185" s="21" t="str"/>
      <x:c r="B185" s="22" t="str"/>
      <x:c r="C185" s="22" t="str"/>
      <x:c r="D185" s="22" t="str">
        <x:f>IF(C185="","",XLOOKUP(C185,'Jogos_MataMata'!$A$2:$A$33,'Jogos_MataMata'!$B$2:$B$33,""))</x:f>
      </x:c>
      <x:c r="E185" s="22" t="str">
        <x:f>IF(C185="","",XLOOKUP(C185,'Jogos_MataMata'!$A$2:$A$33,'Jogos_MataMata'!$J$2:$J$33,""))</x:f>
      </x:c>
      <x:c r="F185" s="22" t="str">
        <x:f>IF(C185="","",XLOOKUP(C185,'Jogos_MataMata'!$A$2:$A$33,'Jogos_MataMata'!$K$2:$K$33,""))</x:f>
      </x:c>
      <x:c r="G185" s="22" t="str"/>
      <x:c r="H185" s="22" t="str"/>
      <x:c r="I185" s="22" t="str">
        <x:f>IF(AND(G185&lt;&gt;"",H185&lt;&gt;""),"SIM","NAO")</x:f>
        <x:v>NAO</x:v>
      </x:c>
      <x:c r="J185" s="23" t="str">
        <x:f>IF(OR(C185="",G185="",H185=""),"",LET(hs,XLOOKUP(C185,'Jogos_MataMata'!$A$2:$A$33,'Jogos_MataMata'!$O$2:$O$33,""),as,XLOOKUP(C185,'Jogos_MataMata'!$A$2:$A$33,'Jogos_MataMata'!$P$2:$P$33,""),win,XLOOKUP(C185,'Jogos_MataMata'!$A$2:$A$33,'Jogos_MataMata'!$Q$2:$Q$33,""),predWin,IF(G185&gt;H185,E185,IF(H185&gt;G185,F185,"")),IF(OR(hs="",as="",win=""),"",IF(predWin=win,IF(ABS(G185-H185)=ABS(hs-as),8,3),0))))</x:f>
      </x:c>
    </x:row>
    <x:row r="186">
      <x:c r="A186" s="21" t="str"/>
      <x:c r="B186" s="22" t="str"/>
      <x:c r="C186" s="22" t="str"/>
      <x:c r="D186" s="22" t="str">
        <x:f>IF(C186="","",XLOOKUP(C186,'Jogos_MataMata'!$A$2:$A$33,'Jogos_MataMata'!$B$2:$B$33,""))</x:f>
      </x:c>
      <x:c r="E186" s="22" t="str">
        <x:f>IF(C186="","",XLOOKUP(C186,'Jogos_MataMata'!$A$2:$A$33,'Jogos_MataMata'!$J$2:$J$33,""))</x:f>
      </x:c>
      <x:c r="F186" s="22" t="str">
        <x:f>IF(C186="","",XLOOKUP(C186,'Jogos_MataMata'!$A$2:$A$33,'Jogos_MataMata'!$K$2:$K$33,""))</x:f>
      </x:c>
      <x:c r="G186" s="22" t="str"/>
      <x:c r="H186" s="22" t="str"/>
      <x:c r="I186" s="22" t="str">
        <x:f>IF(AND(G186&lt;&gt;"",H186&lt;&gt;""),"SIM","NAO")</x:f>
        <x:v>NAO</x:v>
      </x:c>
      <x:c r="J186" s="23" t="str">
        <x:f>IF(OR(C186="",G186="",H186=""),"",LET(hs,XLOOKUP(C186,'Jogos_MataMata'!$A$2:$A$33,'Jogos_MataMata'!$O$2:$O$33,""),as,XLOOKUP(C186,'Jogos_MataMata'!$A$2:$A$33,'Jogos_MataMata'!$P$2:$P$33,""),win,XLOOKUP(C186,'Jogos_MataMata'!$A$2:$A$33,'Jogos_MataMata'!$Q$2:$Q$33,""),predWin,IF(G186&gt;H186,E186,IF(H186&gt;G186,F186,"")),IF(OR(hs="",as="",win=""),"",IF(predWin=win,IF(ABS(G186-H186)=ABS(hs-as),8,3),0))))</x:f>
      </x:c>
    </x:row>
    <x:row r="187">
      <x:c r="A187" s="21" t="str"/>
      <x:c r="B187" s="22" t="str"/>
      <x:c r="C187" s="22" t="str"/>
      <x:c r="D187" s="22" t="str">
        <x:f>IF(C187="","",XLOOKUP(C187,'Jogos_MataMata'!$A$2:$A$33,'Jogos_MataMata'!$B$2:$B$33,""))</x:f>
      </x:c>
      <x:c r="E187" s="22" t="str">
        <x:f>IF(C187="","",XLOOKUP(C187,'Jogos_MataMata'!$A$2:$A$33,'Jogos_MataMata'!$J$2:$J$33,""))</x:f>
      </x:c>
      <x:c r="F187" s="22" t="str">
        <x:f>IF(C187="","",XLOOKUP(C187,'Jogos_MataMata'!$A$2:$A$33,'Jogos_MataMata'!$K$2:$K$33,""))</x:f>
      </x:c>
      <x:c r="G187" s="22" t="str"/>
      <x:c r="H187" s="22" t="str"/>
      <x:c r="I187" s="22" t="str">
        <x:f>IF(AND(G187&lt;&gt;"",H187&lt;&gt;""),"SIM","NAO")</x:f>
        <x:v>NAO</x:v>
      </x:c>
      <x:c r="J187" s="23" t="str">
        <x:f>IF(OR(C187="",G187="",H187=""),"",LET(hs,XLOOKUP(C187,'Jogos_MataMata'!$A$2:$A$33,'Jogos_MataMata'!$O$2:$O$33,""),as,XLOOKUP(C187,'Jogos_MataMata'!$A$2:$A$33,'Jogos_MataMata'!$P$2:$P$33,""),win,XLOOKUP(C187,'Jogos_MataMata'!$A$2:$A$33,'Jogos_MataMata'!$Q$2:$Q$33,""),predWin,IF(G187&gt;H187,E187,IF(H187&gt;G187,F187,"")),IF(OR(hs="",as="",win=""),"",IF(predWin=win,IF(ABS(G187-H187)=ABS(hs-as),8,3),0))))</x:f>
      </x:c>
    </x:row>
    <x:row r="188">
      <x:c r="A188" s="21" t="str"/>
      <x:c r="B188" s="22" t="str"/>
      <x:c r="C188" s="22" t="str"/>
      <x:c r="D188" s="22" t="str">
        <x:f>IF(C188="","",XLOOKUP(C188,'Jogos_MataMata'!$A$2:$A$33,'Jogos_MataMata'!$B$2:$B$33,""))</x:f>
      </x:c>
      <x:c r="E188" s="22" t="str">
        <x:f>IF(C188="","",XLOOKUP(C188,'Jogos_MataMata'!$A$2:$A$33,'Jogos_MataMata'!$J$2:$J$33,""))</x:f>
      </x:c>
      <x:c r="F188" s="22" t="str">
        <x:f>IF(C188="","",XLOOKUP(C188,'Jogos_MataMata'!$A$2:$A$33,'Jogos_MataMata'!$K$2:$K$33,""))</x:f>
      </x:c>
      <x:c r="G188" s="22" t="str"/>
      <x:c r="H188" s="22" t="str"/>
      <x:c r="I188" s="22" t="str">
        <x:f>IF(AND(G188&lt;&gt;"",H188&lt;&gt;""),"SIM","NAO")</x:f>
        <x:v>NAO</x:v>
      </x:c>
      <x:c r="J188" s="23" t="str">
        <x:f>IF(OR(C188="",G188="",H188=""),"",LET(hs,XLOOKUP(C188,'Jogos_MataMata'!$A$2:$A$33,'Jogos_MataMata'!$O$2:$O$33,""),as,XLOOKUP(C188,'Jogos_MataMata'!$A$2:$A$33,'Jogos_MataMata'!$P$2:$P$33,""),win,XLOOKUP(C188,'Jogos_MataMata'!$A$2:$A$33,'Jogos_MataMata'!$Q$2:$Q$33,""),predWin,IF(G188&gt;H188,E188,IF(H188&gt;G188,F188,"")),IF(OR(hs="",as="",win=""),"",IF(predWin=win,IF(ABS(G188-H188)=ABS(hs-as),8,3),0))))</x:f>
      </x:c>
    </x:row>
    <x:row r="189">
      <x:c r="A189" s="21" t="str"/>
      <x:c r="B189" s="22" t="str"/>
      <x:c r="C189" s="22" t="str"/>
      <x:c r="D189" s="22" t="str">
        <x:f>IF(C189="","",XLOOKUP(C189,'Jogos_MataMata'!$A$2:$A$33,'Jogos_MataMata'!$B$2:$B$33,""))</x:f>
      </x:c>
      <x:c r="E189" s="22" t="str">
        <x:f>IF(C189="","",XLOOKUP(C189,'Jogos_MataMata'!$A$2:$A$33,'Jogos_MataMata'!$J$2:$J$33,""))</x:f>
      </x:c>
      <x:c r="F189" s="22" t="str">
        <x:f>IF(C189="","",XLOOKUP(C189,'Jogos_MataMata'!$A$2:$A$33,'Jogos_MataMata'!$K$2:$K$33,""))</x:f>
      </x:c>
      <x:c r="G189" s="22" t="str"/>
      <x:c r="H189" s="22" t="str"/>
      <x:c r="I189" s="22" t="str">
        <x:f>IF(AND(G189&lt;&gt;"",H189&lt;&gt;""),"SIM","NAO")</x:f>
        <x:v>NAO</x:v>
      </x:c>
      <x:c r="J189" s="23" t="str">
        <x:f>IF(OR(C189="",G189="",H189=""),"",LET(hs,XLOOKUP(C189,'Jogos_MataMata'!$A$2:$A$33,'Jogos_MataMata'!$O$2:$O$33,""),as,XLOOKUP(C189,'Jogos_MataMata'!$A$2:$A$33,'Jogos_MataMata'!$P$2:$P$33,""),win,XLOOKUP(C189,'Jogos_MataMata'!$A$2:$A$33,'Jogos_MataMata'!$Q$2:$Q$33,""),predWin,IF(G189&gt;H189,E189,IF(H189&gt;G189,F189,"")),IF(OR(hs="",as="",win=""),"",IF(predWin=win,IF(ABS(G189-H189)=ABS(hs-as),8,3),0))))</x:f>
      </x:c>
    </x:row>
    <x:row r="190">
      <x:c r="A190" s="21" t="str"/>
      <x:c r="B190" s="22" t="str"/>
      <x:c r="C190" s="22" t="str"/>
      <x:c r="D190" s="22" t="str">
        <x:f>IF(C190="","",XLOOKUP(C190,'Jogos_MataMata'!$A$2:$A$33,'Jogos_MataMata'!$B$2:$B$33,""))</x:f>
      </x:c>
      <x:c r="E190" s="22" t="str">
        <x:f>IF(C190="","",XLOOKUP(C190,'Jogos_MataMata'!$A$2:$A$33,'Jogos_MataMata'!$J$2:$J$33,""))</x:f>
      </x:c>
      <x:c r="F190" s="22" t="str">
        <x:f>IF(C190="","",XLOOKUP(C190,'Jogos_MataMata'!$A$2:$A$33,'Jogos_MataMata'!$K$2:$K$33,""))</x:f>
      </x:c>
      <x:c r="G190" s="22" t="str"/>
      <x:c r="H190" s="22" t="str"/>
      <x:c r="I190" s="22" t="str">
        <x:f>IF(AND(G190&lt;&gt;"",H190&lt;&gt;""),"SIM","NAO")</x:f>
        <x:v>NAO</x:v>
      </x:c>
      <x:c r="J190" s="23" t="str">
        <x:f>IF(OR(C190="",G190="",H190=""),"",LET(hs,XLOOKUP(C190,'Jogos_MataMata'!$A$2:$A$33,'Jogos_MataMata'!$O$2:$O$33,""),as,XLOOKUP(C190,'Jogos_MataMata'!$A$2:$A$33,'Jogos_MataMata'!$P$2:$P$33,""),win,XLOOKUP(C190,'Jogos_MataMata'!$A$2:$A$33,'Jogos_MataMata'!$Q$2:$Q$33,""),predWin,IF(G190&gt;H190,E190,IF(H190&gt;G190,F190,"")),IF(OR(hs="",as="",win=""),"",IF(predWin=win,IF(ABS(G190-H190)=ABS(hs-as),8,3),0))))</x:f>
      </x:c>
    </x:row>
    <x:row r="191">
      <x:c r="A191" s="21" t="str"/>
      <x:c r="B191" s="22" t="str"/>
      <x:c r="C191" s="22" t="str"/>
      <x:c r="D191" s="22" t="str">
        <x:f>IF(C191="","",XLOOKUP(C191,'Jogos_MataMata'!$A$2:$A$33,'Jogos_MataMata'!$B$2:$B$33,""))</x:f>
      </x:c>
      <x:c r="E191" s="22" t="str">
        <x:f>IF(C191="","",XLOOKUP(C191,'Jogos_MataMata'!$A$2:$A$33,'Jogos_MataMata'!$J$2:$J$33,""))</x:f>
      </x:c>
      <x:c r="F191" s="22" t="str">
        <x:f>IF(C191="","",XLOOKUP(C191,'Jogos_MataMata'!$A$2:$A$33,'Jogos_MataMata'!$K$2:$K$33,""))</x:f>
      </x:c>
      <x:c r="G191" s="22" t="str"/>
      <x:c r="H191" s="22" t="str"/>
      <x:c r="I191" s="22" t="str">
        <x:f>IF(AND(G191&lt;&gt;"",H191&lt;&gt;""),"SIM","NAO")</x:f>
        <x:v>NAO</x:v>
      </x:c>
      <x:c r="J191" s="23" t="str">
        <x:f>IF(OR(C191="",G191="",H191=""),"",LET(hs,XLOOKUP(C191,'Jogos_MataMata'!$A$2:$A$33,'Jogos_MataMata'!$O$2:$O$33,""),as,XLOOKUP(C191,'Jogos_MataMata'!$A$2:$A$33,'Jogos_MataMata'!$P$2:$P$33,""),win,XLOOKUP(C191,'Jogos_MataMata'!$A$2:$A$33,'Jogos_MataMata'!$Q$2:$Q$33,""),predWin,IF(G191&gt;H191,E191,IF(H191&gt;G191,F191,"")),IF(OR(hs="",as="",win=""),"",IF(predWin=win,IF(ABS(G191-H191)=ABS(hs-as),8,3),0))))</x:f>
      </x:c>
    </x:row>
    <x:row r="192">
      <x:c r="A192" s="21" t="str"/>
      <x:c r="B192" s="22" t="str"/>
      <x:c r="C192" s="22" t="str"/>
      <x:c r="D192" s="22" t="str">
        <x:f>IF(C192="","",XLOOKUP(C192,'Jogos_MataMata'!$A$2:$A$33,'Jogos_MataMata'!$B$2:$B$33,""))</x:f>
      </x:c>
      <x:c r="E192" s="22" t="str">
        <x:f>IF(C192="","",XLOOKUP(C192,'Jogos_MataMata'!$A$2:$A$33,'Jogos_MataMata'!$J$2:$J$33,""))</x:f>
      </x:c>
      <x:c r="F192" s="22" t="str">
        <x:f>IF(C192="","",XLOOKUP(C192,'Jogos_MataMata'!$A$2:$A$33,'Jogos_MataMata'!$K$2:$K$33,""))</x:f>
      </x:c>
      <x:c r="G192" s="22" t="str"/>
      <x:c r="H192" s="22" t="str"/>
      <x:c r="I192" s="22" t="str">
        <x:f>IF(AND(G192&lt;&gt;"",H192&lt;&gt;""),"SIM","NAO")</x:f>
        <x:v>NAO</x:v>
      </x:c>
      <x:c r="J192" s="23" t="str">
        <x:f>IF(OR(C192="",G192="",H192=""),"",LET(hs,XLOOKUP(C192,'Jogos_MataMata'!$A$2:$A$33,'Jogos_MataMata'!$O$2:$O$33,""),as,XLOOKUP(C192,'Jogos_MataMata'!$A$2:$A$33,'Jogos_MataMata'!$P$2:$P$33,""),win,XLOOKUP(C192,'Jogos_MataMata'!$A$2:$A$33,'Jogos_MataMata'!$Q$2:$Q$33,""),predWin,IF(G192&gt;H192,E192,IF(H192&gt;G192,F192,"")),IF(OR(hs="",as="",win=""),"",IF(predWin=win,IF(ABS(G192-H192)=ABS(hs-as),8,3),0))))</x:f>
      </x:c>
    </x:row>
    <x:row r="193">
      <x:c r="A193" s="21" t="str"/>
      <x:c r="B193" s="22" t="str"/>
      <x:c r="C193" s="22" t="str"/>
      <x:c r="D193" s="22" t="str">
        <x:f>IF(C193="","",XLOOKUP(C193,'Jogos_MataMata'!$A$2:$A$33,'Jogos_MataMata'!$B$2:$B$33,""))</x:f>
      </x:c>
      <x:c r="E193" s="22" t="str">
        <x:f>IF(C193="","",XLOOKUP(C193,'Jogos_MataMata'!$A$2:$A$33,'Jogos_MataMata'!$J$2:$J$33,""))</x:f>
      </x:c>
      <x:c r="F193" s="22" t="str">
        <x:f>IF(C193="","",XLOOKUP(C193,'Jogos_MataMata'!$A$2:$A$33,'Jogos_MataMata'!$K$2:$K$33,""))</x:f>
      </x:c>
      <x:c r="G193" s="22" t="str"/>
      <x:c r="H193" s="22" t="str"/>
      <x:c r="I193" s="22" t="str">
        <x:f>IF(AND(G193&lt;&gt;"",H193&lt;&gt;""),"SIM","NAO")</x:f>
        <x:v>NAO</x:v>
      </x:c>
      <x:c r="J193" s="23" t="str">
        <x:f>IF(OR(C193="",G193="",H193=""),"",LET(hs,XLOOKUP(C193,'Jogos_MataMata'!$A$2:$A$33,'Jogos_MataMata'!$O$2:$O$33,""),as,XLOOKUP(C193,'Jogos_MataMata'!$A$2:$A$33,'Jogos_MataMata'!$P$2:$P$33,""),win,XLOOKUP(C193,'Jogos_MataMata'!$A$2:$A$33,'Jogos_MataMata'!$Q$2:$Q$33,""),predWin,IF(G193&gt;H193,E193,IF(H193&gt;G193,F193,"")),IF(OR(hs="",as="",win=""),"",IF(predWin=win,IF(ABS(G193-H193)=ABS(hs-as),8,3),0))))</x:f>
      </x:c>
    </x:row>
    <x:row r="194">
      <x:c r="A194" s="21" t="str"/>
      <x:c r="B194" s="22" t="str"/>
      <x:c r="C194" s="22" t="str"/>
      <x:c r="D194" s="22" t="str">
        <x:f>IF(C194="","",XLOOKUP(C194,'Jogos_MataMata'!$A$2:$A$33,'Jogos_MataMata'!$B$2:$B$33,""))</x:f>
      </x:c>
      <x:c r="E194" s="22" t="str">
        <x:f>IF(C194="","",XLOOKUP(C194,'Jogos_MataMata'!$A$2:$A$33,'Jogos_MataMata'!$J$2:$J$33,""))</x:f>
      </x:c>
      <x:c r="F194" s="22" t="str">
        <x:f>IF(C194="","",XLOOKUP(C194,'Jogos_MataMata'!$A$2:$A$33,'Jogos_MataMata'!$K$2:$K$33,""))</x:f>
      </x:c>
      <x:c r="G194" s="22" t="str"/>
      <x:c r="H194" s="22" t="str"/>
      <x:c r="I194" s="22" t="str">
        <x:f>IF(AND(G194&lt;&gt;"",H194&lt;&gt;""),"SIM","NAO")</x:f>
        <x:v>NAO</x:v>
      </x:c>
      <x:c r="J194" s="23" t="str">
        <x:f>IF(OR(C194="",G194="",H194=""),"",LET(hs,XLOOKUP(C194,'Jogos_MataMata'!$A$2:$A$33,'Jogos_MataMata'!$O$2:$O$33,""),as,XLOOKUP(C194,'Jogos_MataMata'!$A$2:$A$33,'Jogos_MataMata'!$P$2:$P$33,""),win,XLOOKUP(C194,'Jogos_MataMata'!$A$2:$A$33,'Jogos_MataMata'!$Q$2:$Q$33,""),predWin,IF(G194&gt;H194,E194,IF(H194&gt;G194,F194,"")),IF(OR(hs="",as="",win=""),"",IF(predWin=win,IF(ABS(G194-H194)=ABS(hs-as),8,3),0))))</x:f>
      </x:c>
    </x:row>
    <x:row r="195">
      <x:c r="A195" s="21" t="str"/>
      <x:c r="B195" s="22" t="str"/>
      <x:c r="C195" s="22" t="str"/>
      <x:c r="D195" s="22" t="str">
        <x:f>IF(C195="","",XLOOKUP(C195,'Jogos_MataMata'!$A$2:$A$33,'Jogos_MataMata'!$B$2:$B$33,""))</x:f>
      </x:c>
      <x:c r="E195" s="22" t="str">
        <x:f>IF(C195="","",XLOOKUP(C195,'Jogos_MataMata'!$A$2:$A$33,'Jogos_MataMata'!$J$2:$J$33,""))</x:f>
      </x:c>
      <x:c r="F195" s="22" t="str">
        <x:f>IF(C195="","",XLOOKUP(C195,'Jogos_MataMata'!$A$2:$A$33,'Jogos_MataMata'!$K$2:$K$33,""))</x:f>
      </x:c>
      <x:c r="G195" s="22" t="str"/>
      <x:c r="H195" s="22" t="str"/>
      <x:c r="I195" s="22" t="str">
        <x:f>IF(AND(G195&lt;&gt;"",H195&lt;&gt;""),"SIM","NAO")</x:f>
        <x:v>NAO</x:v>
      </x:c>
      <x:c r="J195" s="23" t="str">
        <x:f>IF(OR(C195="",G195="",H195=""),"",LET(hs,XLOOKUP(C195,'Jogos_MataMata'!$A$2:$A$33,'Jogos_MataMata'!$O$2:$O$33,""),as,XLOOKUP(C195,'Jogos_MataMata'!$A$2:$A$33,'Jogos_MataMata'!$P$2:$P$33,""),win,XLOOKUP(C195,'Jogos_MataMata'!$A$2:$A$33,'Jogos_MataMata'!$Q$2:$Q$33,""),predWin,IF(G195&gt;H195,E195,IF(H195&gt;G195,F195,"")),IF(OR(hs="",as="",win=""),"",IF(predWin=win,IF(ABS(G195-H195)=ABS(hs-as),8,3),0))))</x:f>
      </x:c>
    </x:row>
    <x:row r="196">
      <x:c r="A196" s="21" t="str"/>
      <x:c r="B196" s="22" t="str"/>
      <x:c r="C196" s="22" t="str"/>
      <x:c r="D196" s="22" t="str">
        <x:f>IF(C196="","",XLOOKUP(C196,'Jogos_MataMata'!$A$2:$A$33,'Jogos_MataMata'!$B$2:$B$33,""))</x:f>
      </x:c>
      <x:c r="E196" s="22" t="str">
        <x:f>IF(C196="","",XLOOKUP(C196,'Jogos_MataMata'!$A$2:$A$33,'Jogos_MataMata'!$J$2:$J$33,""))</x:f>
      </x:c>
      <x:c r="F196" s="22" t="str">
        <x:f>IF(C196="","",XLOOKUP(C196,'Jogos_MataMata'!$A$2:$A$33,'Jogos_MataMata'!$K$2:$K$33,""))</x:f>
      </x:c>
      <x:c r="G196" s="22" t="str"/>
      <x:c r="H196" s="22" t="str"/>
      <x:c r="I196" s="22" t="str">
        <x:f>IF(AND(G196&lt;&gt;"",H196&lt;&gt;""),"SIM","NAO")</x:f>
        <x:v>NAO</x:v>
      </x:c>
      <x:c r="J196" s="23" t="str">
        <x:f>IF(OR(C196="",G196="",H196=""),"",LET(hs,XLOOKUP(C196,'Jogos_MataMata'!$A$2:$A$33,'Jogos_MataMata'!$O$2:$O$33,""),as,XLOOKUP(C196,'Jogos_MataMata'!$A$2:$A$33,'Jogos_MataMata'!$P$2:$P$33,""),win,XLOOKUP(C196,'Jogos_MataMata'!$A$2:$A$33,'Jogos_MataMata'!$Q$2:$Q$33,""),predWin,IF(G196&gt;H196,E196,IF(H196&gt;G196,F196,"")),IF(OR(hs="",as="",win=""),"",IF(predWin=win,IF(ABS(G196-H196)=ABS(hs-as),8,3),0))))</x:f>
      </x:c>
    </x:row>
    <x:row r="197">
      <x:c r="A197" s="21" t="str"/>
      <x:c r="B197" s="22" t="str"/>
      <x:c r="C197" s="22" t="str"/>
      <x:c r="D197" s="22" t="str">
        <x:f>IF(C197="","",XLOOKUP(C197,'Jogos_MataMata'!$A$2:$A$33,'Jogos_MataMata'!$B$2:$B$33,""))</x:f>
      </x:c>
      <x:c r="E197" s="22" t="str">
        <x:f>IF(C197="","",XLOOKUP(C197,'Jogos_MataMata'!$A$2:$A$33,'Jogos_MataMata'!$J$2:$J$33,""))</x:f>
      </x:c>
      <x:c r="F197" s="22" t="str">
        <x:f>IF(C197="","",XLOOKUP(C197,'Jogos_MataMata'!$A$2:$A$33,'Jogos_MataMata'!$K$2:$K$33,""))</x:f>
      </x:c>
      <x:c r="G197" s="22" t="str"/>
      <x:c r="H197" s="22" t="str"/>
      <x:c r="I197" s="22" t="str">
        <x:f>IF(AND(G197&lt;&gt;"",H197&lt;&gt;""),"SIM","NAO")</x:f>
        <x:v>NAO</x:v>
      </x:c>
      <x:c r="J197" s="23" t="str">
        <x:f>IF(OR(C197="",G197="",H197=""),"",LET(hs,XLOOKUP(C197,'Jogos_MataMata'!$A$2:$A$33,'Jogos_MataMata'!$O$2:$O$33,""),as,XLOOKUP(C197,'Jogos_MataMata'!$A$2:$A$33,'Jogos_MataMata'!$P$2:$P$33,""),win,XLOOKUP(C197,'Jogos_MataMata'!$A$2:$A$33,'Jogos_MataMata'!$Q$2:$Q$33,""),predWin,IF(G197&gt;H197,E197,IF(H197&gt;G197,F197,"")),IF(OR(hs="",as="",win=""),"",IF(predWin=win,IF(ABS(G197-H197)=ABS(hs-as),8,3),0))))</x:f>
      </x:c>
    </x:row>
    <x:row r="198">
      <x:c r="A198" s="21" t="str"/>
      <x:c r="B198" s="22" t="str"/>
      <x:c r="C198" s="22" t="str"/>
      <x:c r="D198" s="22" t="str">
        <x:f>IF(C198="","",XLOOKUP(C198,'Jogos_MataMata'!$A$2:$A$33,'Jogos_MataMata'!$B$2:$B$33,""))</x:f>
      </x:c>
      <x:c r="E198" s="22" t="str">
        <x:f>IF(C198="","",XLOOKUP(C198,'Jogos_MataMata'!$A$2:$A$33,'Jogos_MataMata'!$J$2:$J$33,""))</x:f>
      </x:c>
      <x:c r="F198" s="22" t="str">
        <x:f>IF(C198="","",XLOOKUP(C198,'Jogos_MataMata'!$A$2:$A$33,'Jogos_MataMata'!$K$2:$K$33,""))</x:f>
      </x:c>
      <x:c r="G198" s="22" t="str"/>
      <x:c r="H198" s="22" t="str"/>
      <x:c r="I198" s="22" t="str">
        <x:f>IF(AND(G198&lt;&gt;"",H198&lt;&gt;""),"SIM","NAO")</x:f>
        <x:v>NAO</x:v>
      </x:c>
      <x:c r="J198" s="23" t="str">
        <x:f>IF(OR(C198="",G198="",H198=""),"",LET(hs,XLOOKUP(C198,'Jogos_MataMata'!$A$2:$A$33,'Jogos_MataMata'!$O$2:$O$33,""),as,XLOOKUP(C198,'Jogos_MataMata'!$A$2:$A$33,'Jogos_MataMata'!$P$2:$P$33,""),win,XLOOKUP(C198,'Jogos_MataMata'!$A$2:$A$33,'Jogos_MataMata'!$Q$2:$Q$33,""),predWin,IF(G198&gt;H198,E198,IF(H198&gt;G198,F198,"")),IF(OR(hs="",as="",win=""),"",IF(predWin=win,IF(ABS(G198-H198)=ABS(hs-as),8,3),0))))</x:f>
      </x:c>
    </x:row>
    <x:row r="199">
      <x:c r="A199" s="21" t="str"/>
      <x:c r="B199" s="22" t="str"/>
      <x:c r="C199" s="22" t="str"/>
      <x:c r="D199" s="22" t="str">
        <x:f>IF(C199="","",XLOOKUP(C199,'Jogos_MataMata'!$A$2:$A$33,'Jogos_MataMata'!$B$2:$B$33,""))</x:f>
      </x:c>
      <x:c r="E199" s="22" t="str">
        <x:f>IF(C199="","",XLOOKUP(C199,'Jogos_MataMata'!$A$2:$A$33,'Jogos_MataMata'!$J$2:$J$33,""))</x:f>
      </x:c>
      <x:c r="F199" s="22" t="str">
        <x:f>IF(C199="","",XLOOKUP(C199,'Jogos_MataMata'!$A$2:$A$33,'Jogos_MataMata'!$K$2:$K$33,""))</x:f>
      </x:c>
      <x:c r="G199" s="22" t="str"/>
      <x:c r="H199" s="22" t="str"/>
      <x:c r="I199" s="22" t="str">
        <x:f>IF(AND(G199&lt;&gt;"",H199&lt;&gt;""),"SIM","NAO")</x:f>
        <x:v>NAO</x:v>
      </x:c>
      <x:c r="J199" s="23" t="str">
        <x:f>IF(OR(C199="",G199="",H199=""),"",LET(hs,XLOOKUP(C199,'Jogos_MataMata'!$A$2:$A$33,'Jogos_MataMata'!$O$2:$O$33,""),as,XLOOKUP(C199,'Jogos_MataMata'!$A$2:$A$33,'Jogos_MataMata'!$P$2:$P$33,""),win,XLOOKUP(C199,'Jogos_MataMata'!$A$2:$A$33,'Jogos_MataMata'!$Q$2:$Q$33,""),predWin,IF(G199&gt;H199,E199,IF(H199&gt;G199,F199,"")),IF(OR(hs="",as="",win=""),"",IF(predWin=win,IF(ABS(G199-H199)=ABS(hs-as),8,3),0))))</x:f>
      </x:c>
    </x:row>
    <x:row r="200">
      <x:c r="A200" s="21" t="str"/>
      <x:c r="B200" s="22" t="str"/>
      <x:c r="C200" s="22" t="str"/>
      <x:c r="D200" s="22" t="str">
        <x:f>IF(C200="","",XLOOKUP(C200,'Jogos_MataMata'!$A$2:$A$33,'Jogos_MataMata'!$B$2:$B$33,""))</x:f>
      </x:c>
      <x:c r="E200" s="22" t="str">
        <x:f>IF(C200="","",XLOOKUP(C200,'Jogos_MataMata'!$A$2:$A$33,'Jogos_MataMata'!$J$2:$J$33,""))</x:f>
      </x:c>
      <x:c r="F200" s="22" t="str">
        <x:f>IF(C200="","",XLOOKUP(C200,'Jogos_MataMata'!$A$2:$A$33,'Jogos_MataMata'!$K$2:$K$33,""))</x:f>
      </x:c>
      <x:c r="G200" s="22" t="str"/>
      <x:c r="H200" s="22" t="str"/>
      <x:c r="I200" s="22" t="str">
        <x:f>IF(AND(G200&lt;&gt;"",H200&lt;&gt;""),"SIM","NAO")</x:f>
        <x:v>NAO</x:v>
      </x:c>
      <x:c r="J200" s="23" t="str">
        <x:f>IF(OR(C200="",G200="",H200=""),"",LET(hs,XLOOKUP(C200,'Jogos_MataMata'!$A$2:$A$33,'Jogos_MataMata'!$O$2:$O$33,""),as,XLOOKUP(C200,'Jogos_MataMata'!$A$2:$A$33,'Jogos_MataMata'!$P$2:$P$33,""),win,XLOOKUP(C200,'Jogos_MataMata'!$A$2:$A$33,'Jogos_MataMata'!$Q$2:$Q$33,""),predWin,IF(G200&gt;H200,E200,IF(H200&gt;G200,F200,"")),IF(OR(hs="",as="",win=""),"",IF(predWin=win,IF(ABS(G200-H200)=ABS(hs-as),8,3),0))))</x:f>
      </x:c>
    </x:row>
    <x:row r="201">
      <x:c r="A201" s="21" t="str"/>
      <x:c r="B201" s="22" t="str"/>
      <x:c r="C201" s="22" t="str"/>
      <x:c r="D201" s="22" t="str">
        <x:f>IF(C201="","",XLOOKUP(C201,'Jogos_MataMata'!$A$2:$A$33,'Jogos_MataMata'!$B$2:$B$33,""))</x:f>
      </x:c>
      <x:c r="E201" s="22" t="str">
        <x:f>IF(C201="","",XLOOKUP(C201,'Jogos_MataMata'!$A$2:$A$33,'Jogos_MataMata'!$J$2:$J$33,""))</x:f>
      </x:c>
      <x:c r="F201" s="22" t="str">
        <x:f>IF(C201="","",XLOOKUP(C201,'Jogos_MataMata'!$A$2:$A$33,'Jogos_MataMata'!$K$2:$K$33,""))</x:f>
      </x:c>
      <x:c r="G201" s="22" t="str"/>
      <x:c r="H201" s="22" t="str"/>
      <x:c r="I201" s="22" t="str">
        <x:f>IF(AND(G201&lt;&gt;"",H201&lt;&gt;""),"SIM","NAO")</x:f>
        <x:v>NAO</x:v>
      </x:c>
      <x:c r="J201" s="23" t="str">
        <x:f>IF(OR(C201="",G201="",H201=""),"",LET(hs,XLOOKUP(C201,'Jogos_MataMata'!$A$2:$A$33,'Jogos_MataMata'!$O$2:$O$33,""),as,XLOOKUP(C201,'Jogos_MataMata'!$A$2:$A$33,'Jogos_MataMata'!$P$2:$P$33,""),win,XLOOKUP(C201,'Jogos_MataMata'!$A$2:$A$33,'Jogos_MataMata'!$Q$2:$Q$33,""),predWin,IF(G201&gt;H201,E201,IF(H201&gt;G201,F201,"")),IF(OR(hs="",as="",win=""),"",IF(predWin=win,IF(ABS(G201-H201)=ABS(hs-as),8,3),0))))</x:f>
      </x:c>
    </x:row>
    <x:row r="202">
      <x:c r="A202" s="21" t="str"/>
      <x:c r="B202" s="22" t="str"/>
      <x:c r="C202" s="22" t="str"/>
      <x:c r="D202" s="22" t="str">
        <x:f>IF(C202="","",XLOOKUP(C202,'Jogos_MataMata'!$A$2:$A$33,'Jogos_MataMata'!$B$2:$B$33,""))</x:f>
      </x:c>
      <x:c r="E202" s="22" t="str">
        <x:f>IF(C202="","",XLOOKUP(C202,'Jogos_MataMata'!$A$2:$A$33,'Jogos_MataMata'!$J$2:$J$33,""))</x:f>
      </x:c>
      <x:c r="F202" s="22" t="str">
        <x:f>IF(C202="","",XLOOKUP(C202,'Jogos_MataMata'!$A$2:$A$33,'Jogos_MataMata'!$K$2:$K$33,""))</x:f>
      </x:c>
      <x:c r="G202" s="22" t="str"/>
      <x:c r="H202" s="22" t="str"/>
      <x:c r="I202" s="22" t="str">
        <x:f>IF(AND(G202&lt;&gt;"",H202&lt;&gt;""),"SIM","NAO")</x:f>
        <x:v>NAO</x:v>
      </x:c>
      <x:c r="J202" s="23" t="str">
        <x:f>IF(OR(C202="",G202="",H202=""),"",LET(hs,XLOOKUP(C202,'Jogos_MataMata'!$A$2:$A$33,'Jogos_MataMata'!$O$2:$O$33,""),as,XLOOKUP(C202,'Jogos_MataMata'!$A$2:$A$33,'Jogos_MataMata'!$P$2:$P$33,""),win,XLOOKUP(C202,'Jogos_MataMata'!$A$2:$A$33,'Jogos_MataMata'!$Q$2:$Q$33,""),predWin,IF(G202&gt;H202,E202,IF(H202&gt;G202,F202,"")),IF(OR(hs="",as="",win=""),"",IF(predWin=win,IF(ABS(G202-H202)=ABS(hs-as),8,3),0))))</x:f>
      </x:c>
    </x:row>
    <x:row r="203">
      <x:c r="A203" s="21" t="str"/>
      <x:c r="B203" s="22" t="str"/>
      <x:c r="C203" s="22" t="str"/>
      <x:c r="D203" s="22" t="str">
        <x:f>IF(C203="","",XLOOKUP(C203,'Jogos_MataMata'!$A$2:$A$33,'Jogos_MataMata'!$B$2:$B$33,""))</x:f>
      </x:c>
      <x:c r="E203" s="22" t="str">
        <x:f>IF(C203="","",XLOOKUP(C203,'Jogos_MataMata'!$A$2:$A$33,'Jogos_MataMata'!$J$2:$J$33,""))</x:f>
      </x:c>
      <x:c r="F203" s="22" t="str">
        <x:f>IF(C203="","",XLOOKUP(C203,'Jogos_MataMata'!$A$2:$A$33,'Jogos_MataMata'!$K$2:$K$33,""))</x:f>
      </x:c>
      <x:c r="G203" s="22" t="str"/>
      <x:c r="H203" s="22" t="str"/>
      <x:c r="I203" s="22" t="str">
        <x:f>IF(AND(G203&lt;&gt;"",H203&lt;&gt;""),"SIM","NAO")</x:f>
        <x:v>NAO</x:v>
      </x:c>
      <x:c r="J203" s="23" t="str">
        <x:f>IF(OR(C203="",G203="",H203=""),"",LET(hs,XLOOKUP(C203,'Jogos_MataMata'!$A$2:$A$33,'Jogos_MataMata'!$O$2:$O$33,""),as,XLOOKUP(C203,'Jogos_MataMata'!$A$2:$A$33,'Jogos_MataMata'!$P$2:$P$33,""),win,XLOOKUP(C203,'Jogos_MataMata'!$A$2:$A$33,'Jogos_MataMata'!$Q$2:$Q$33,""),predWin,IF(G203&gt;H203,E203,IF(H203&gt;G203,F203,"")),IF(OR(hs="",as="",win=""),"",IF(predWin=win,IF(ABS(G203-H203)=ABS(hs-as),8,3),0))))</x:f>
      </x:c>
    </x:row>
    <x:row r="204">
      <x:c r="A204" s="21" t="str"/>
      <x:c r="B204" s="22" t="str"/>
      <x:c r="C204" s="22" t="str"/>
      <x:c r="D204" s="22" t="str">
        <x:f>IF(C204="","",XLOOKUP(C204,'Jogos_MataMata'!$A$2:$A$33,'Jogos_MataMata'!$B$2:$B$33,""))</x:f>
      </x:c>
      <x:c r="E204" s="22" t="str">
        <x:f>IF(C204="","",XLOOKUP(C204,'Jogos_MataMata'!$A$2:$A$33,'Jogos_MataMata'!$J$2:$J$33,""))</x:f>
      </x:c>
      <x:c r="F204" s="22" t="str">
        <x:f>IF(C204="","",XLOOKUP(C204,'Jogos_MataMata'!$A$2:$A$33,'Jogos_MataMata'!$K$2:$K$33,""))</x:f>
      </x:c>
      <x:c r="G204" s="22" t="str"/>
      <x:c r="H204" s="22" t="str"/>
      <x:c r="I204" s="22" t="str">
        <x:f>IF(AND(G204&lt;&gt;"",H204&lt;&gt;""),"SIM","NAO")</x:f>
        <x:v>NAO</x:v>
      </x:c>
      <x:c r="J204" s="23" t="str">
        <x:f>IF(OR(C204="",G204="",H204=""),"",LET(hs,XLOOKUP(C204,'Jogos_MataMata'!$A$2:$A$33,'Jogos_MataMata'!$O$2:$O$33,""),as,XLOOKUP(C204,'Jogos_MataMata'!$A$2:$A$33,'Jogos_MataMata'!$P$2:$P$33,""),win,XLOOKUP(C204,'Jogos_MataMata'!$A$2:$A$33,'Jogos_MataMata'!$Q$2:$Q$33,""),predWin,IF(G204&gt;H204,E204,IF(H204&gt;G204,F204,"")),IF(OR(hs="",as="",win=""),"",IF(predWin=win,IF(ABS(G204-H204)=ABS(hs-as),8,3),0))))</x:f>
      </x:c>
    </x:row>
    <x:row r="205">
      <x:c r="A205" s="21" t="str"/>
      <x:c r="B205" s="22" t="str"/>
      <x:c r="C205" s="22" t="str"/>
      <x:c r="D205" s="22" t="str">
        <x:f>IF(C205="","",XLOOKUP(C205,'Jogos_MataMata'!$A$2:$A$33,'Jogos_MataMata'!$B$2:$B$33,""))</x:f>
      </x:c>
      <x:c r="E205" s="22" t="str">
        <x:f>IF(C205="","",XLOOKUP(C205,'Jogos_MataMata'!$A$2:$A$33,'Jogos_MataMata'!$J$2:$J$33,""))</x:f>
      </x:c>
      <x:c r="F205" s="22" t="str">
        <x:f>IF(C205="","",XLOOKUP(C205,'Jogos_MataMata'!$A$2:$A$33,'Jogos_MataMata'!$K$2:$K$33,""))</x:f>
      </x:c>
      <x:c r="G205" s="22" t="str"/>
      <x:c r="H205" s="22" t="str"/>
      <x:c r="I205" s="22" t="str">
        <x:f>IF(AND(G205&lt;&gt;"",H205&lt;&gt;""),"SIM","NAO")</x:f>
        <x:v>NAO</x:v>
      </x:c>
      <x:c r="J205" s="23" t="str">
        <x:f>IF(OR(C205="",G205="",H205=""),"",LET(hs,XLOOKUP(C205,'Jogos_MataMata'!$A$2:$A$33,'Jogos_MataMata'!$O$2:$O$33,""),as,XLOOKUP(C205,'Jogos_MataMata'!$A$2:$A$33,'Jogos_MataMata'!$P$2:$P$33,""),win,XLOOKUP(C205,'Jogos_MataMata'!$A$2:$A$33,'Jogos_MataMata'!$Q$2:$Q$33,""),predWin,IF(G205&gt;H205,E205,IF(H205&gt;G205,F205,"")),IF(OR(hs="",as="",win=""),"",IF(predWin=win,IF(ABS(G205-H205)=ABS(hs-as),8,3),0))))</x:f>
      </x:c>
    </x:row>
    <x:row r="206">
      <x:c r="A206" s="21" t="str"/>
      <x:c r="B206" s="22" t="str"/>
      <x:c r="C206" s="22" t="str"/>
      <x:c r="D206" s="22" t="str">
        <x:f>IF(C206="","",XLOOKUP(C206,'Jogos_MataMata'!$A$2:$A$33,'Jogos_MataMata'!$B$2:$B$33,""))</x:f>
      </x:c>
      <x:c r="E206" s="22" t="str">
        <x:f>IF(C206="","",XLOOKUP(C206,'Jogos_MataMata'!$A$2:$A$33,'Jogos_MataMata'!$J$2:$J$33,""))</x:f>
      </x:c>
      <x:c r="F206" s="22" t="str">
        <x:f>IF(C206="","",XLOOKUP(C206,'Jogos_MataMata'!$A$2:$A$33,'Jogos_MataMata'!$K$2:$K$33,""))</x:f>
      </x:c>
      <x:c r="G206" s="22" t="str"/>
      <x:c r="H206" s="22" t="str"/>
      <x:c r="I206" s="22" t="str">
        <x:f>IF(AND(G206&lt;&gt;"",H206&lt;&gt;""),"SIM","NAO")</x:f>
        <x:v>NAO</x:v>
      </x:c>
      <x:c r="J206" s="23" t="str">
        <x:f>IF(OR(C206="",G206="",H206=""),"",LET(hs,XLOOKUP(C206,'Jogos_MataMata'!$A$2:$A$33,'Jogos_MataMata'!$O$2:$O$33,""),as,XLOOKUP(C206,'Jogos_MataMata'!$A$2:$A$33,'Jogos_MataMata'!$P$2:$P$33,""),win,XLOOKUP(C206,'Jogos_MataMata'!$A$2:$A$33,'Jogos_MataMata'!$Q$2:$Q$33,""),predWin,IF(G206&gt;H206,E206,IF(H206&gt;G206,F206,"")),IF(OR(hs="",as="",win=""),"",IF(predWin=win,IF(ABS(G206-H206)=ABS(hs-as),8,3),0))))</x:f>
      </x:c>
    </x:row>
    <x:row r="207">
      <x:c r="A207" s="21" t="str"/>
      <x:c r="B207" s="22" t="str"/>
      <x:c r="C207" s="22" t="str"/>
      <x:c r="D207" s="22" t="str">
        <x:f>IF(C207="","",XLOOKUP(C207,'Jogos_MataMata'!$A$2:$A$33,'Jogos_MataMata'!$B$2:$B$33,""))</x:f>
      </x:c>
      <x:c r="E207" s="22" t="str">
        <x:f>IF(C207="","",XLOOKUP(C207,'Jogos_MataMata'!$A$2:$A$33,'Jogos_MataMata'!$J$2:$J$33,""))</x:f>
      </x:c>
      <x:c r="F207" s="22" t="str">
        <x:f>IF(C207="","",XLOOKUP(C207,'Jogos_MataMata'!$A$2:$A$33,'Jogos_MataMata'!$K$2:$K$33,""))</x:f>
      </x:c>
      <x:c r="G207" s="22" t="str"/>
      <x:c r="H207" s="22" t="str"/>
      <x:c r="I207" s="22" t="str">
        <x:f>IF(AND(G207&lt;&gt;"",H207&lt;&gt;""),"SIM","NAO")</x:f>
        <x:v>NAO</x:v>
      </x:c>
      <x:c r="J207" s="23" t="str">
        <x:f>IF(OR(C207="",G207="",H207=""),"",LET(hs,XLOOKUP(C207,'Jogos_MataMata'!$A$2:$A$33,'Jogos_MataMata'!$O$2:$O$33,""),as,XLOOKUP(C207,'Jogos_MataMata'!$A$2:$A$33,'Jogos_MataMata'!$P$2:$P$33,""),win,XLOOKUP(C207,'Jogos_MataMata'!$A$2:$A$33,'Jogos_MataMata'!$Q$2:$Q$33,""),predWin,IF(G207&gt;H207,E207,IF(H207&gt;G207,F207,"")),IF(OR(hs="",as="",win=""),"",IF(predWin=win,IF(ABS(G207-H207)=ABS(hs-as),8,3),0))))</x:f>
      </x:c>
    </x:row>
    <x:row r="208">
      <x:c r="A208" s="21" t="str"/>
      <x:c r="B208" s="22" t="str"/>
      <x:c r="C208" s="22" t="str"/>
      <x:c r="D208" s="22" t="str">
        <x:f>IF(C208="","",XLOOKUP(C208,'Jogos_MataMata'!$A$2:$A$33,'Jogos_MataMata'!$B$2:$B$33,""))</x:f>
      </x:c>
      <x:c r="E208" s="22" t="str">
        <x:f>IF(C208="","",XLOOKUP(C208,'Jogos_MataMata'!$A$2:$A$33,'Jogos_MataMata'!$J$2:$J$33,""))</x:f>
      </x:c>
      <x:c r="F208" s="22" t="str">
        <x:f>IF(C208="","",XLOOKUP(C208,'Jogos_MataMata'!$A$2:$A$33,'Jogos_MataMata'!$K$2:$K$33,""))</x:f>
      </x:c>
      <x:c r="G208" s="22" t="str"/>
      <x:c r="H208" s="22" t="str"/>
      <x:c r="I208" s="22" t="str">
        <x:f>IF(AND(G208&lt;&gt;"",H208&lt;&gt;""),"SIM","NAO")</x:f>
        <x:v>NAO</x:v>
      </x:c>
      <x:c r="J208" s="23" t="str">
        <x:f>IF(OR(C208="",G208="",H208=""),"",LET(hs,XLOOKUP(C208,'Jogos_MataMata'!$A$2:$A$33,'Jogos_MataMata'!$O$2:$O$33,""),as,XLOOKUP(C208,'Jogos_MataMata'!$A$2:$A$33,'Jogos_MataMata'!$P$2:$P$33,""),win,XLOOKUP(C208,'Jogos_MataMata'!$A$2:$A$33,'Jogos_MataMata'!$Q$2:$Q$33,""),predWin,IF(G208&gt;H208,E208,IF(H208&gt;G208,F208,"")),IF(OR(hs="",as="",win=""),"",IF(predWin=win,IF(ABS(G208-H208)=ABS(hs-as),8,3),0))))</x:f>
      </x:c>
    </x:row>
    <x:row r="209">
      <x:c r="A209" s="21" t="str"/>
      <x:c r="B209" s="22" t="str"/>
      <x:c r="C209" s="22" t="str"/>
      <x:c r="D209" s="22" t="str">
        <x:f>IF(C209="","",XLOOKUP(C209,'Jogos_MataMata'!$A$2:$A$33,'Jogos_MataMata'!$B$2:$B$33,""))</x:f>
      </x:c>
      <x:c r="E209" s="22" t="str">
        <x:f>IF(C209="","",XLOOKUP(C209,'Jogos_MataMata'!$A$2:$A$33,'Jogos_MataMata'!$J$2:$J$33,""))</x:f>
      </x:c>
      <x:c r="F209" s="22" t="str">
        <x:f>IF(C209="","",XLOOKUP(C209,'Jogos_MataMata'!$A$2:$A$33,'Jogos_MataMata'!$K$2:$K$33,""))</x:f>
      </x:c>
      <x:c r="G209" s="22" t="str"/>
      <x:c r="H209" s="22" t="str"/>
      <x:c r="I209" s="22" t="str">
        <x:f>IF(AND(G209&lt;&gt;"",H209&lt;&gt;""),"SIM","NAO")</x:f>
        <x:v>NAO</x:v>
      </x:c>
      <x:c r="J209" s="23" t="str">
        <x:f>IF(OR(C209="",G209="",H209=""),"",LET(hs,XLOOKUP(C209,'Jogos_MataMata'!$A$2:$A$33,'Jogos_MataMata'!$O$2:$O$33,""),as,XLOOKUP(C209,'Jogos_MataMata'!$A$2:$A$33,'Jogos_MataMata'!$P$2:$P$33,""),win,XLOOKUP(C209,'Jogos_MataMata'!$A$2:$A$33,'Jogos_MataMata'!$Q$2:$Q$33,""),predWin,IF(G209&gt;H209,E209,IF(H209&gt;G209,F209,"")),IF(OR(hs="",as="",win=""),"",IF(predWin=win,IF(ABS(G209-H209)=ABS(hs-as),8,3),0))))</x:f>
      </x:c>
    </x:row>
    <x:row r="210">
      <x:c r="A210" s="21" t="str"/>
      <x:c r="B210" s="22" t="str"/>
      <x:c r="C210" s="22" t="str"/>
      <x:c r="D210" s="22" t="str">
        <x:f>IF(C210="","",XLOOKUP(C210,'Jogos_MataMata'!$A$2:$A$33,'Jogos_MataMata'!$B$2:$B$33,""))</x:f>
      </x:c>
      <x:c r="E210" s="22" t="str">
        <x:f>IF(C210="","",XLOOKUP(C210,'Jogos_MataMata'!$A$2:$A$33,'Jogos_MataMata'!$J$2:$J$33,""))</x:f>
      </x:c>
      <x:c r="F210" s="22" t="str">
        <x:f>IF(C210="","",XLOOKUP(C210,'Jogos_MataMata'!$A$2:$A$33,'Jogos_MataMata'!$K$2:$K$33,""))</x:f>
      </x:c>
      <x:c r="G210" s="22" t="str"/>
      <x:c r="H210" s="22" t="str"/>
      <x:c r="I210" s="22" t="str">
        <x:f>IF(AND(G210&lt;&gt;"",H210&lt;&gt;""),"SIM","NAO")</x:f>
        <x:v>NAO</x:v>
      </x:c>
      <x:c r="J210" s="23" t="str">
        <x:f>IF(OR(C210="",G210="",H210=""),"",LET(hs,XLOOKUP(C210,'Jogos_MataMata'!$A$2:$A$33,'Jogos_MataMata'!$O$2:$O$33,""),as,XLOOKUP(C210,'Jogos_MataMata'!$A$2:$A$33,'Jogos_MataMata'!$P$2:$P$33,""),win,XLOOKUP(C210,'Jogos_MataMata'!$A$2:$A$33,'Jogos_MataMata'!$Q$2:$Q$33,""),predWin,IF(G210&gt;H210,E210,IF(H210&gt;G210,F210,"")),IF(OR(hs="",as="",win=""),"",IF(predWin=win,IF(ABS(G210-H210)=ABS(hs-as),8,3),0))))</x:f>
      </x:c>
    </x:row>
    <x:row r="211">
      <x:c r="A211" s="21" t="str"/>
      <x:c r="B211" s="22" t="str"/>
      <x:c r="C211" s="22" t="str"/>
      <x:c r="D211" s="22" t="str">
        <x:f>IF(C211="","",XLOOKUP(C211,'Jogos_MataMata'!$A$2:$A$33,'Jogos_MataMata'!$B$2:$B$33,""))</x:f>
      </x:c>
      <x:c r="E211" s="22" t="str">
        <x:f>IF(C211="","",XLOOKUP(C211,'Jogos_MataMata'!$A$2:$A$33,'Jogos_MataMata'!$J$2:$J$33,""))</x:f>
      </x:c>
      <x:c r="F211" s="22" t="str">
        <x:f>IF(C211="","",XLOOKUP(C211,'Jogos_MataMata'!$A$2:$A$33,'Jogos_MataMata'!$K$2:$K$33,""))</x:f>
      </x:c>
      <x:c r="G211" s="22" t="str"/>
      <x:c r="H211" s="22" t="str"/>
      <x:c r="I211" s="22" t="str">
        <x:f>IF(AND(G211&lt;&gt;"",H211&lt;&gt;""),"SIM","NAO")</x:f>
        <x:v>NAO</x:v>
      </x:c>
      <x:c r="J211" s="23" t="str">
        <x:f>IF(OR(C211="",G211="",H211=""),"",LET(hs,XLOOKUP(C211,'Jogos_MataMata'!$A$2:$A$33,'Jogos_MataMata'!$O$2:$O$33,""),as,XLOOKUP(C211,'Jogos_MataMata'!$A$2:$A$33,'Jogos_MataMata'!$P$2:$P$33,""),win,XLOOKUP(C211,'Jogos_MataMata'!$A$2:$A$33,'Jogos_MataMata'!$Q$2:$Q$33,""),predWin,IF(G211&gt;H211,E211,IF(H211&gt;G211,F211,"")),IF(OR(hs="",as="",win=""),"",IF(predWin=win,IF(ABS(G211-H211)=ABS(hs-as),8,3),0))))</x:f>
      </x:c>
    </x:row>
    <x:row r="212">
      <x:c r="A212" s="21" t="str"/>
      <x:c r="B212" s="22" t="str"/>
      <x:c r="C212" s="22" t="str"/>
      <x:c r="D212" s="22" t="str">
        <x:f>IF(C212="","",XLOOKUP(C212,'Jogos_MataMata'!$A$2:$A$33,'Jogos_MataMata'!$B$2:$B$33,""))</x:f>
      </x:c>
      <x:c r="E212" s="22" t="str">
        <x:f>IF(C212="","",XLOOKUP(C212,'Jogos_MataMata'!$A$2:$A$33,'Jogos_MataMata'!$J$2:$J$33,""))</x:f>
      </x:c>
      <x:c r="F212" s="22" t="str">
        <x:f>IF(C212="","",XLOOKUP(C212,'Jogos_MataMata'!$A$2:$A$33,'Jogos_MataMata'!$K$2:$K$33,""))</x:f>
      </x:c>
      <x:c r="G212" s="22" t="str"/>
      <x:c r="H212" s="22" t="str"/>
      <x:c r="I212" s="22" t="str">
        <x:f>IF(AND(G212&lt;&gt;"",H212&lt;&gt;""),"SIM","NAO")</x:f>
        <x:v>NAO</x:v>
      </x:c>
      <x:c r="J212" s="23" t="str">
        <x:f>IF(OR(C212="",G212="",H212=""),"",LET(hs,XLOOKUP(C212,'Jogos_MataMata'!$A$2:$A$33,'Jogos_MataMata'!$O$2:$O$33,""),as,XLOOKUP(C212,'Jogos_MataMata'!$A$2:$A$33,'Jogos_MataMata'!$P$2:$P$33,""),win,XLOOKUP(C212,'Jogos_MataMata'!$A$2:$A$33,'Jogos_MataMata'!$Q$2:$Q$33,""),predWin,IF(G212&gt;H212,E212,IF(H212&gt;G212,F212,"")),IF(OR(hs="",as="",win=""),"",IF(predWin=win,IF(ABS(G212-H212)=ABS(hs-as),8,3),0))))</x:f>
      </x:c>
    </x:row>
    <x:row r="213">
      <x:c r="A213" s="21" t="str"/>
      <x:c r="B213" s="22" t="str"/>
      <x:c r="C213" s="22" t="str"/>
      <x:c r="D213" s="22" t="str">
        <x:f>IF(C213="","",XLOOKUP(C213,'Jogos_MataMata'!$A$2:$A$33,'Jogos_MataMata'!$B$2:$B$33,""))</x:f>
      </x:c>
      <x:c r="E213" s="22" t="str">
        <x:f>IF(C213="","",XLOOKUP(C213,'Jogos_MataMata'!$A$2:$A$33,'Jogos_MataMata'!$J$2:$J$33,""))</x:f>
      </x:c>
      <x:c r="F213" s="22" t="str">
        <x:f>IF(C213="","",XLOOKUP(C213,'Jogos_MataMata'!$A$2:$A$33,'Jogos_MataMata'!$K$2:$K$33,""))</x:f>
      </x:c>
      <x:c r="G213" s="22" t="str"/>
      <x:c r="H213" s="22" t="str"/>
      <x:c r="I213" s="22" t="str">
        <x:f>IF(AND(G213&lt;&gt;"",H213&lt;&gt;""),"SIM","NAO")</x:f>
        <x:v>NAO</x:v>
      </x:c>
      <x:c r="J213" s="23" t="str">
        <x:f>IF(OR(C213="",G213="",H213=""),"",LET(hs,XLOOKUP(C213,'Jogos_MataMata'!$A$2:$A$33,'Jogos_MataMata'!$O$2:$O$33,""),as,XLOOKUP(C213,'Jogos_MataMata'!$A$2:$A$33,'Jogos_MataMata'!$P$2:$P$33,""),win,XLOOKUP(C213,'Jogos_MataMata'!$A$2:$A$33,'Jogos_MataMata'!$Q$2:$Q$33,""),predWin,IF(G213&gt;H213,E213,IF(H213&gt;G213,F213,"")),IF(OR(hs="",as="",win=""),"",IF(predWin=win,IF(ABS(G213-H213)=ABS(hs-as),8,3),0))))</x:f>
      </x:c>
    </x:row>
    <x:row r="214">
      <x:c r="A214" s="21" t="str"/>
      <x:c r="B214" s="22" t="str"/>
      <x:c r="C214" s="22" t="str"/>
      <x:c r="D214" s="22" t="str">
        <x:f>IF(C214="","",XLOOKUP(C214,'Jogos_MataMata'!$A$2:$A$33,'Jogos_MataMata'!$B$2:$B$33,""))</x:f>
      </x:c>
      <x:c r="E214" s="22" t="str">
        <x:f>IF(C214="","",XLOOKUP(C214,'Jogos_MataMata'!$A$2:$A$33,'Jogos_MataMata'!$J$2:$J$33,""))</x:f>
      </x:c>
      <x:c r="F214" s="22" t="str">
        <x:f>IF(C214="","",XLOOKUP(C214,'Jogos_MataMata'!$A$2:$A$33,'Jogos_MataMata'!$K$2:$K$33,""))</x:f>
      </x:c>
      <x:c r="G214" s="22" t="str"/>
      <x:c r="H214" s="22" t="str"/>
      <x:c r="I214" s="22" t="str">
        <x:f>IF(AND(G214&lt;&gt;"",H214&lt;&gt;""),"SIM","NAO")</x:f>
        <x:v>NAO</x:v>
      </x:c>
      <x:c r="J214" s="23" t="str">
        <x:f>IF(OR(C214="",G214="",H214=""),"",LET(hs,XLOOKUP(C214,'Jogos_MataMata'!$A$2:$A$33,'Jogos_MataMata'!$O$2:$O$33,""),as,XLOOKUP(C214,'Jogos_MataMata'!$A$2:$A$33,'Jogos_MataMata'!$P$2:$P$33,""),win,XLOOKUP(C214,'Jogos_MataMata'!$A$2:$A$33,'Jogos_MataMata'!$Q$2:$Q$33,""),predWin,IF(G214&gt;H214,E214,IF(H214&gt;G214,F214,"")),IF(OR(hs="",as="",win=""),"",IF(predWin=win,IF(ABS(G214-H214)=ABS(hs-as),8,3),0))))</x:f>
      </x:c>
    </x:row>
    <x:row r="215">
      <x:c r="A215" s="21" t="str"/>
      <x:c r="B215" s="22" t="str"/>
      <x:c r="C215" s="22" t="str"/>
      <x:c r="D215" s="22" t="str">
        <x:f>IF(C215="","",XLOOKUP(C215,'Jogos_MataMata'!$A$2:$A$33,'Jogos_MataMata'!$B$2:$B$33,""))</x:f>
      </x:c>
      <x:c r="E215" s="22" t="str">
        <x:f>IF(C215="","",XLOOKUP(C215,'Jogos_MataMata'!$A$2:$A$33,'Jogos_MataMata'!$J$2:$J$33,""))</x:f>
      </x:c>
      <x:c r="F215" s="22" t="str">
        <x:f>IF(C215="","",XLOOKUP(C215,'Jogos_MataMata'!$A$2:$A$33,'Jogos_MataMata'!$K$2:$K$33,""))</x:f>
      </x:c>
      <x:c r="G215" s="22" t="str"/>
      <x:c r="H215" s="22" t="str"/>
      <x:c r="I215" s="22" t="str">
        <x:f>IF(AND(G215&lt;&gt;"",H215&lt;&gt;""),"SIM","NAO")</x:f>
        <x:v>NAO</x:v>
      </x:c>
      <x:c r="J215" s="23" t="str">
        <x:f>IF(OR(C215="",G215="",H215=""),"",LET(hs,XLOOKUP(C215,'Jogos_MataMata'!$A$2:$A$33,'Jogos_MataMata'!$O$2:$O$33,""),as,XLOOKUP(C215,'Jogos_MataMata'!$A$2:$A$33,'Jogos_MataMata'!$P$2:$P$33,""),win,XLOOKUP(C215,'Jogos_MataMata'!$A$2:$A$33,'Jogos_MataMata'!$Q$2:$Q$33,""),predWin,IF(G215&gt;H215,E215,IF(H215&gt;G215,F215,"")),IF(OR(hs="",as="",win=""),"",IF(predWin=win,IF(ABS(G215-H215)=ABS(hs-as),8,3),0))))</x:f>
      </x:c>
    </x:row>
    <x:row r="216">
      <x:c r="A216" s="21" t="str"/>
      <x:c r="B216" s="22" t="str"/>
      <x:c r="C216" s="22" t="str"/>
      <x:c r="D216" s="22" t="str">
        <x:f>IF(C216="","",XLOOKUP(C216,'Jogos_MataMata'!$A$2:$A$33,'Jogos_MataMata'!$B$2:$B$33,""))</x:f>
      </x:c>
      <x:c r="E216" s="22" t="str">
        <x:f>IF(C216="","",XLOOKUP(C216,'Jogos_MataMata'!$A$2:$A$33,'Jogos_MataMata'!$J$2:$J$33,""))</x:f>
      </x:c>
      <x:c r="F216" s="22" t="str">
        <x:f>IF(C216="","",XLOOKUP(C216,'Jogos_MataMata'!$A$2:$A$33,'Jogos_MataMata'!$K$2:$K$33,""))</x:f>
      </x:c>
      <x:c r="G216" s="22" t="str"/>
      <x:c r="H216" s="22" t="str"/>
      <x:c r="I216" s="22" t="str">
        <x:f>IF(AND(G216&lt;&gt;"",H216&lt;&gt;""),"SIM","NAO")</x:f>
        <x:v>NAO</x:v>
      </x:c>
      <x:c r="J216" s="23" t="str">
        <x:f>IF(OR(C216="",G216="",H216=""),"",LET(hs,XLOOKUP(C216,'Jogos_MataMata'!$A$2:$A$33,'Jogos_MataMata'!$O$2:$O$33,""),as,XLOOKUP(C216,'Jogos_MataMata'!$A$2:$A$33,'Jogos_MataMata'!$P$2:$P$33,""),win,XLOOKUP(C216,'Jogos_MataMata'!$A$2:$A$33,'Jogos_MataMata'!$Q$2:$Q$33,""),predWin,IF(G216&gt;H216,E216,IF(H216&gt;G216,F216,"")),IF(OR(hs="",as="",win=""),"",IF(predWin=win,IF(ABS(G216-H216)=ABS(hs-as),8,3),0))))</x:f>
      </x:c>
    </x:row>
    <x:row r="217">
      <x:c r="A217" s="21" t="str"/>
      <x:c r="B217" s="22" t="str"/>
      <x:c r="C217" s="22" t="str"/>
      <x:c r="D217" s="22" t="str">
        <x:f>IF(C217="","",XLOOKUP(C217,'Jogos_MataMata'!$A$2:$A$33,'Jogos_MataMata'!$B$2:$B$33,""))</x:f>
      </x:c>
      <x:c r="E217" s="22" t="str">
        <x:f>IF(C217="","",XLOOKUP(C217,'Jogos_MataMata'!$A$2:$A$33,'Jogos_MataMata'!$J$2:$J$33,""))</x:f>
      </x:c>
      <x:c r="F217" s="22" t="str">
        <x:f>IF(C217="","",XLOOKUP(C217,'Jogos_MataMata'!$A$2:$A$33,'Jogos_MataMata'!$K$2:$K$33,""))</x:f>
      </x:c>
      <x:c r="G217" s="22" t="str"/>
      <x:c r="H217" s="22" t="str"/>
      <x:c r="I217" s="22" t="str">
        <x:f>IF(AND(G217&lt;&gt;"",H217&lt;&gt;""),"SIM","NAO")</x:f>
        <x:v>NAO</x:v>
      </x:c>
      <x:c r="J217" s="23" t="str">
        <x:f>IF(OR(C217="",G217="",H217=""),"",LET(hs,XLOOKUP(C217,'Jogos_MataMata'!$A$2:$A$33,'Jogos_MataMata'!$O$2:$O$33,""),as,XLOOKUP(C217,'Jogos_MataMata'!$A$2:$A$33,'Jogos_MataMata'!$P$2:$P$33,""),win,XLOOKUP(C217,'Jogos_MataMata'!$A$2:$A$33,'Jogos_MataMata'!$Q$2:$Q$33,""),predWin,IF(G217&gt;H217,E217,IF(H217&gt;G217,F217,"")),IF(OR(hs="",as="",win=""),"",IF(predWin=win,IF(ABS(G217-H217)=ABS(hs-as),8,3),0))))</x:f>
      </x:c>
    </x:row>
    <x:row r="218">
      <x:c r="A218" s="21" t="str"/>
      <x:c r="B218" s="22" t="str"/>
      <x:c r="C218" s="22" t="str"/>
      <x:c r="D218" s="22" t="str">
        <x:f>IF(C218="","",XLOOKUP(C218,'Jogos_MataMata'!$A$2:$A$33,'Jogos_MataMata'!$B$2:$B$33,""))</x:f>
      </x:c>
      <x:c r="E218" s="22" t="str">
        <x:f>IF(C218="","",XLOOKUP(C218,'Jogos_MataMata'!$A$2:$A$33,'Jogos_MataMata'!$J$2:$J$33,""))</x:f>
      </x:c>
      <x:c r="F218" s="22" t="str">
        <x:f>IF(C218="","",XLOOKUP(C218,'Jogos_MataMata'!$A$2:$A$33,'Jogos_MataMata'!$K$2:$K$33,""))</x:f>
      </x:c>
      <x:c r="G218" s="22" t="str"/>
      <x:c r="H218" s="22" t="str"/>
      <x:c r="I218" s="22" t="str">
        <x:f>IF(AND(G218&lt;&gt;"",H218&lt;&gt;""),"SIM","NAO")</x:f>
        <x:v>NAO</x:v>
      </x:c>
      <x:c r="J218" s="23" t="str">
        <x:f>IF(OR(C218="",G218="",H218=""),"",LET(hs,XLOOKUP(C218,'Jogos_MataMata'!$A$2:$A$33,'Jogos_MataMata'!$O$2:$O$33,""),as,XLOOKUP(C218,'Jogos_MataMata'!$A$2:$A$33,'Jogos_MataMata'!$P$2:$P$33,""),win,XLOOKUP(C218,'Jogos_MataMata'!$A$2:$A$33,'Jogos_MataMata'!$Q$2:$Q$33,""),predWin,IF(G218&gt;H218,E218,IF(H218&gt;G218,F218,"")),IF(OR(hs="",as="",win=""),"",IF(predWin=win,IF(ABS(G218-H218)=ABS(hs-as),8,3),0))))</x:f>
      </x:c>
    </x:row>
    <x:row r="219">
      <x:c r="A219" s="21" t="str"/>
      <x:c r="B219" s="22" t="str"/>
      <x:c r="C219" s="22" t="str"/>
      <x:c r="D219" s="22" t="str">
        <x:f>IF(C219="","",XLOOKUP(C219,'Jogos_MataMata'!$A$2:$A$33,'Jogos_MataMata'!$B$2:$B$33,""))</x:f>
      </x:c>
      <x:c r="E219" s="22" t="str">
        <x:f>IF(C219="","",XLOOKUP(C219,'Jogos_MataMata'!$A$2:$A$33,'Jogos_MataMata'!$J$2:$J$33,""))</x:f>
      </x:c>
      <x:c r="F219" s="22" t="str">
        <x:f>IF(C219="","",XLOOKUP(C219,'Jogos_MataMata'!$A$2:$A$33,'Jogos_MataMata'!$K$2:$K$33,""))</x:f>
      </x:c>
      <x:c r="G219" s="22" t="str"/>
      <x:c r="H219" s="22" t="str"/>
      <x:c r="I219" s="22" t="str">
        <x:f>IF(AND(G219&lt;&gt;"",H219&lt;&gt;""),"SIM","NAO")</x:f>
        <x:v>NAO</x:v>
      </x:c>
      <x:c r="J219" s="23" t="str">
        <x:f>IF(OR(C219="",G219="",H219=""),"",LET(hs,XLOOKUP(C219,'Jogos_MataMata'!$A$2:$A$33,'Jogos_MataMata'!$O$2:$O$33,""),as,XLOOKUP(C219,'Jogos_MataMata'!$A$2:$A$33,'Jogos_MataMata'!$P$2:$P$33,""),win,XLOOKUP(C219,'Jogos_MataMata'!$A$2:$A$33,'Jogos_MataMata'!$Q$2:$Q$33,""),predWin,IF(G219&gt;H219,E219,IF(H219&gt;G219,F219,"")),IF(OR(hs="",as="",win=""),"",IF(predWin=win,IF(ABS(G219-H219)=ABS(hs-as),8,3),0))))</x:f>
      </x:c>
    </x:row>
    <x:row r="220">
      <x:c r="A220" s="21" t="str"/>
      <x:c r="B220" s="22" t="str"/>
      <x:c r="C220" s="22" t="str"/>
      <x:c r="D220" s="22" t="str">
        <x:f>IF(C220="","",XLOOKUP(C220,'Jogos_MataMata'!$A$2:$A$33,'Jogos_MataMata'!$B$2:$B$33,""))</x:f>
      </x:c>
      <x:c r="E220" s="22" t="str">
        <x:f>IF(C220="","",XLOOKUP(C220,'Jogos_MataMata'!$A$2:$A$33,'Jogos_MataMata'!$J$2:$J$33,""))</x:f>
      </x:c>
      <x:c r="F220" s="22" t="str">
        <x:f>IF(C220="","",XLOOKUP(C220,'Jogos_MataMata'!$A$2:$A$33,'Jogos_MataMata'!$K$2:$K$33,""))</x:f>
      </x:c>
      <x:c r="G220" s="22" t="str"/>
      <x:c r="H220" s="22" t="str"/>
      <x:c r="I220" s="22" t="str">
        <x:f>IF(AND(G220&lt;&gt;"",H220&lt;&gt;""),"SIM","NAO")</x:f>
        <x:v>NAO</x:v>
      </x:c>
      <x:c r="J220" s="23" t="str">
        <x:f>IF(OR(C220="",G220="",H220=""),"",LET(hs,XLOOKUP(C220,'Jogos_MataMata'!$A$2:$A$33,'Jogos_MataMata'!$O$2:$O$33,""),as,XLOOKUP(C220,'Jogos_MataMata'!$A$2:$A$33,'Jogos_MataMata'!$P$2:$P$33,""),win,XLOOKUP(C220,'Jogos_MataMata'!$A$2:$A$33,'Jogos_MataMata'!$Q$2:$Q$33,""),predWin,IF(G220&gt;H220,E220,IF(H220&gt;G220,F220,"")),IF(OR(hs="",as="",win=""),"",IF(predWin=win,IF(ABS(G220-H220)=ABS(hs-as),8,3),0))))</x:f>
      </x:c>
    </x:row>
    <x:row r="221">
      <x:c r="A221" s="21" t="str"/>
      <x:c r="B221" s="22" t="str"/>
      <x:c r="C221" s="22" t="str"/>
      <x:c r="D221" s="22" t="str">
        <x:f>IF(C221="","",XLOOKUP(C221,'Jogos_MataMata'!$A$2:$A$33,'Jogos_MataMata'!$B$2:$B$33,""))</x:f>
      </x:c>
      <x:c r="E221" s="22" t="str">
        <x:f>IF(C221="","",XLOOKUP(C221,'Jogos_MataMata'!$A$2:$A$33,'Jogos_MataMata'!$J$2:$J$33,""))</x:f>
      </x:c>
      <x:c r="F221" s="22" t="str">
        <x:f>IF(C221="","",XLOOKUP(C221,'Jogos_MataMata'!$A$2:$A$33,'Jogos_MataMata'!$K$2:$K$33,""))</x:f>
      </x:c>
      <x:c r="G221" s="22" t="str"/>
      <x:c r="H221" s="22" t="str"/>
      <x:c r="I221" s="22" t="str">
        <x:f>IF(AND(G221&lt;&gt;"",H221&lt;&gt;""),"SIM","NAO")</x:f>
        <x:v>NAO</x:v>
      </x:c>
      <x:c r="J221" s="23" t="str">
        <x:f>IF(OR(C221="",G221="",H221=""),"",LET(hs,XLOOKUP(C221,'Jogos_MataMata'!$A$2:$A$33,'Jogos_MataMata'!$O$2:$O$33,""),as,XLOOKUP(C221,'Jogos_MataMata'!$A$2:$A$33,'Jogos_MataMata'!$P$2:$P$33,""),win,XLOOKUP(C221,'Jogos_MataMata'!$A$2:$A$33,'Jogos_MataMata'!$Q$2:$Q$33,""),predWin,IF(G221&gt;H221,E221,IF(H221&gt;G221,F221,"")),IF(OR(hs="",as="",win=""),"",IF(predWin=win,IF(ABS(G221-H221)=ABS(hs-as),8,3),0))))</x:f>
      </x:c>
    </x:row>
    <x:row r="222">
      <x:c r="A222" s="21" t="str"/>
      <x:c r="B222" s="22" t="str"/>
      <x:c r="C222" s="22" t="str"/>
      <x:c r="D222" s="22" t="str">
        <x:f>IF(C222="","",XLOOKUP(C222,'Jogos_MataMata'!$A$2:$A$33,'Jogos_MataMata'!$B$2:$B$33,""))</x:f>
      </x:c>
      <x:c r="E222" s="22" t="str">
        <x:f>IF(C222="","",XLOOKUP(C222,'Jogos_MataMata'!$A$2:$A$33,'Jogos_MataMata'!$J$2:$J$33,""))</x:f>
      </x:c>
      <x:c r="F222" s="22" t="str">
        <x:f>IF(C222="","",XLOOKUP(C222,'Jogos_MataMata'!$A$2:$A$33,'Jogos_MataMata'!$K$2:$K$33,""))</x:f>
      </x:c>
      <x:c r="G222" s="22" t="str"/>
      <x:c r="H222" s="22" t="str"/>
      <x:c r="I222" s="22" t="str">
        <x:f>IF(AND(G222&lt;&gt;"",H222&lt;&gt;""),"SIM","NAO")</x:f>
        <x:v>NAO</x:v>
      </x:c>
      <x:c r="J222" s="23" t="str">
        <x:f>IF(OR(C222="",G222="",H222=""),"",LET(hs,XLOOKUP(C222,'Jogos_MataMata'!$A$2:$A$33,'Jogos_MataMata'!$O$2:$O$33,""),as,XLOOKUP(C222,'Jogos_MataMata'!$A$2:$A$33,'Jogos_MataMata'!$P$2:$P$33,""),win,XLOOKUP(C222,'Jogos_MataMata'!$A$2:$A$33,'Jogos_MataMata'!$Q$2:$Q$33,""),predWin,IF(G222&gt;H222,E222,IF(H222&gt;G222,F222,"")),IF(OR(hs="",as="",win=""),"",IF(predWin=win,IF(ABS(G222-H222)=ABS(hs-as),8,3),0))))</x:f>
      </x:c>
    </x:row>
    <x:row r="223">
      <x:c r="A223" s="21" t="str"/>
      <x:c r="B223" s="22" t="str"/>
      <x:c r="C223" s="22" t="str"/>
      <x:c r="D223" s="22" t="str">
        <x:f>IF(C223="","",XLOOKUP(C223,'Jogos_MataMata'!$A$2:$A$33,'Jogos_MataMata'!$B$2:$B$33,""))</x:f>
      </x:c>
      <x:c r="E223" s="22" t="str">
        <x:f>IF(C223="","",XLOOKUP(C223,'Jogos_MataMata'!$A$2:$A$33,'Jogos_MataMata'!$J$2:$J$33,""))</x:f>
      </x:c>
      <x:c r="F223" s="22" t="str">
        <x:f>IF(C223="","",XLOOKUP(C223,'Jogos_MataMata'!$A$2:$A$33,'Jogos_MataMata'!$K$2:$K$33,""))</x:f>
      </x:c>
      <x:c r="G223" s="22" t="str"/>
      <x:c r="H223" s="22" t="str"/>
      <x:c r="I223" s="22" t="str">
        <x:f>IF(AND(G223&lt;&gt;"",H223&lt;&gt;""),"SIM","NAO")</x:f>
        <x:v>NAO</x:v>
      </x:c>
      <x:c r="J223" s="23" t="str">
        <x:f>IF(OR(C223="",G223="",H223=""),"",LET(hs,XLOOKUP(C223,'Jogos_MataMata'!$A$2:$A$33,'Jogos_MataMata'!$O$2:$O$33,""),as,XLOOKUP(C223,'Jogos_MataMata'!$A$2:$A$33,'Jogos_MataMata'!$P$2:$P$33,""),win,XLOOKUP(C223,'Jogos_MataMata'!$A$2:$A$33,'Jogos_MataMata'!$Q$2:$Q$33,""),predWin,IF(G223&gt;H223,E223,IF(H223&gt;G223,F223,"")),IF(OR(hs="",as="",win=""),"",IF(predWin=win,IF(ABS(G223-H223)=ABS(hs-as),8,3),0))))</x:f>
      </x:c>
    </x:row>
    <x:row r="224">
      <x:c r="A224" s="21" t="str"/>
      <x:c r="B224" s="22" t="str"/>
      <x:c r="C224" s="22" t="str"/>
      <x:c r="D224" s="22" t="str">
        <x:f>IF(C224="","",XLOOKUP(C224,'Jogos_MataMata'!$A$2:$A$33,'Jogos_MataMata'!$B$2:$B$33,""))</x:f>
      </x:c>
      <x:c r="E224" s="22" t="str">
        <x:f>IF(C224="","",XLOOKUP(C224,'Jogos_MataMata'!$A$2:$A$33,'Jogos_MataMata'!$J$2:$J$33,""))</x:f>
      </x:c>
      <x:c r="F224" s="22" t="str">
        <x:f>IF(C224="","",XLOOKUP(C224,'Jogos_MataMata'!$A$2:$A$33,'Jogos_MataMata'!$K$2:$K$33,""))</x:f>
      </x:c>
      <x:c r="G224" s="22" t="str"/>
      <x:c r="H224" s="22" t="str"/>
      <x:c r="I224" s="22" t="str">
        <x:f>IF(AND(G224&lt;&gt;"",H224&lt;&gt;""),"SIM","NAO")</x:f>
        <x:v>NAO</x:v>
      </x:c>
      <x:c r="J224" s="23" t="str">
        <x:f>IF(OR(C224="",G224="",H224=""),"",LET(hs,XLOOKUP(C224,'Jogos_MataMata'!$A$2:$A$33,'Jogos_MataMata'!$O$2:$O$33,""),as,XLOOKUP(C224,'Jogos_MataMata'!$A$2:$A$33,'Jogos_MataMata'!$P$2:$P$33,""),win,XLOOKUP(C224,'Jogos_MataMata'!$A$2:$A$33,'Jogos_MataMata'!$Q$2:$Q$33,""),predWin,IF(G224&gt;H224,E224,IF(H224&gt;G224,F224,"")),IF(OR(hs="",as="",win=""),"",IF(predWin=win,IF(ABS(G224-H224)=ABS(hs-as),8,3),0))))</x:f>
      </x:c>
    </x:row>
    <x:row r="225">
      <x:c r="A225" s="21" t="str"/>
      <x:c r="B225" s="22" t="str"/>
      <x:c r="C225" s="22" t="str"/>
      <x:c r="D225" s="22" t="str">
        <x:f>IF(C225="","",XLOOKUP(C225,'Jogos_MataMata'!$A$2:$A$33,'Jogos_MataMata'!$B$2:$B$33,""))</x:f>
      </x:c>
      <x:c r="E225" s="22" t="str">
        <x:f>IF(C225="","",XLOOKUP(C225,'Jogos_MataMata'!$A$2:$A$33,'Jogos_MataMata'!$J$2:$J$33,""))</x:f>
      </x:c>
      <x:c r="F225" s="22" t="str">
        <x:f>IF(C225="","",XLOOKUP(C225,'Jogos_MataMata'!$A$2:$A$33,'Jogos_MataMata'!$K$2:$K$33,""))</x:f>
      </x:c>
      <x:c r="G225" s="22" t="str"/>
      <x:c r="H225" s="22" t="str"/>
      <x:c r="I225" s="22" t="str">
        <x:f>IF(AND(G225&lt;&gt;"",H225&lt;&gt;""),"SIM","NAO")</x:f>
        <x:v>NAO</x:v>
      </x:c>
      <x:c r="J225" s="23" t="str">
        <x:f>IF(OR(C225="",G225="",H225=""),"",LET(hs,XLOOKUP(C225,'Jogos_MataMata'!$A$2:$A$33,'Jogos_MataMata'!$O$2:$O$33,""),as,XLOOKUP(C225,'Jogos_MataMata'!$A$2:$A$33,'Jogos_MataMata'!$P$2:$P$33,""),win,XLOOKUP(C225,'Jogos_MataMata'!$A$2:$A$33,'Jogos_MataMata'!$Q$2:$Q$33,""),predWin,IF(G225&gt;H225,E225,IF(H225&gt;G225,F225,"")),IF(OR(hs="",as="",win=""),"",IF(predWin=win,IF(ABS(G225-H225)=ABS(hs-as),8,3),0))))</x:f>
      </x:c>
    </x:row>
    <x:row r="226">
      <x:c r="A226" s="21" t="str"/>
      <x:c r="B226" s="22" t="str"/>
      <x:c r="C226" s="22" t="str"/>
      <x:c r="D226" s="22" t="str">
        <x:f>IF(C226="","",XLOOKUP(C226,'Jogos_MataMata'!$A$2:$A$33,'Jogos_MataMata'!$B$2:$B$33,""))</x:f>
      </x:c>
      <x:c r="E226" s="22" t="str">
        <x:f>IF(C226="","",XLOOKUP(C226,'Jogos_MataMata'!$A$2:$A$33,'Jogos_MataMata'!$J$2:$J$33,""))</x:f>
      </x:c>
      <x:c r="F226" s="22" t="str">
        <x:f>IF(C226="","",XLOOKUP(C226,'Jogos_MataMata'!$A$2:$A$33,'Jogos_MataMata'!$K$2:$K$33,""))</x:f>
      </x:c>
      <x:c r="G226" s="22" t="str"/>
      <x:c r="H226" s="22" t="str"/>
      <x:c r="I226" s="22" t="str">
        <x:f>IF(AND(G226&lt;&gt;"",H226&lt;&gt;""),"SIM","NAO")</x:f>
        <x:v>NAO</x:v>
      </x:c>
      <x:c r="J226" s="23" t="str">
        <x:f>IF(OR(C226="",G226="",H226=""),"",LET(hs,XLOOKUP(C226,'Jogos_MataMata'!$A$2:$A$33,'Jogos_MataMata'!$O$2:$O$33,""),as,XLOOKUP(C226,'Jogos_MataMata'!$A$2:$A$33,'Jogos_MataMata'!$P$2:$P$33,""),win,XLOOKUP(C226,'Jogos_MataMata'!$A$2:$A$33,'Jogos_MataMata'!$Q$2:$Q$33,""),predWin,IF(G226&gt;H226,E226,IF(H226&gt;G226,F226,"")),IF(OR(hs="",as="",win=""),"",IF(predWin=win,IF(ABS(G226-H226)=ABS(hs-as),8,3),0))))</x:f>
      </x:c>
    </x:row>
    <x:row r="227">
      <x:c r="A227" s="21" t="str"/>
      <x:c r="B227" s="22" t="str"/>
      <x:c r="C227" s="22" t="str"/>
      <x:c r="D227" s="22" t="str">
        <x:f>IF(C227="","",XLOOKUP(C227,'Jogos_MataMata'!$A$2:$A$33,'Jogos_MataMata'!$B$2:$B$33,""))</x:f>
      </x:c>
      <x:c r="E227" s="22" t="str">
        <x:f>IF(C227="","",XLOOKUP(C227,'Jogos_MataMata'!$A$2:$A$33,'Jogos_MataMata'!$J$2:$J$33,""))</x:f>
      </x:c>
      <x:c r="F227" s="22" t="str">
        <x:f>IF(C227="","",XLOOKUP(C227,'Jogos_MataMata'!$A$2:$A$33,'Jogos_MataMata'!$K$2:$K$33,""))</x:f>
      </x:c>
      <x:c r="G227" s="22" t="str"/>
      <x:c r="H227" s="22" t="str"/>
      <x:c r="I227" s="22" t="str">
        <x:f>IF(AND(G227&lt;&gt;"",H227&lt;&gt;""),"SIM","NAO")</x:f>
        <x:v>NAO</x:v>
      </x:c>
      <x:c r="J227" s="23" t="str">
        <x:f>IF(OR(C227="",G227="",H227=""),"",LET(hs,XLOOKUP(C227,'Jogos_MataMata'!$A$2:$A$33,'Jogos_MataMata'!$O$2:$O$33,""),as,XLOOKUP(C227,'Jogos_MataMata'!$A$2:$A$33,'Jogos_MataMata'!$P$2:$P$33,""),win,XLOOKUP(C227,'Jogos_MataMata'!$A$2:$A$33,'Jogos_MataMata'!$Q$2:$Q$33,""),predWin,IF(G227&gt;H227,E227,IF(H227&gt;G227,F227,"")),IF(OR(hs="",as="",win=""),"",IF(predWin=win,IF(ABS(G227-H227)=ABS(hs-as),8,3),0))))</x:f>
      </x:c>
    </x:row>
    <x:row r="228">
      <x:c r="A228" s="21" t="str"/>
      <x:c r="B228" s="22" t="str"/>
      <x:c r="C228" s="22" t="str"/>
      <x:c r="D228" s="22" t="str">
        <x:f>IF(C228="","",XLOOKUP(C228,'Jogos_MataMata'!$A$2:$A$33,'Jogos_MataMata'!$B$2:$B$33,""))</x:f>
      </x:c>
      <x:c r="E228" s="22" t="str">
        <x:f>IF(C228="","",XLOOKUP(C228,'Jogos_MataMata'!$A$2:$A$33,'Jogos_MataMata'!$J$2:$J$33,""))</x:f>
      </x:c>
      <x:c r="F228" s="22" t="str">
        <x:f>IF(C228="","",XLOOKUP(C228,'Jogos_MataMata'!$A$2:$A$33,'Jogos_MataMata'!$K$2:$K$33,""))</x:f>
      </x:c>
      <x:c r="G228" s="22" t="str"/>
      <x:c r="H228" s="22" t="str"/>
      <x:c r="I228" s="22" t="str">
        <x:f>IF(AND(G228&lt;&gt;"",H228&lt;&gt;""),"SIM","NAO")</x:f>
        <x:v>NAO</x:v>
      </x:c>
      <x:c r="J228" s="23" t="str">
        <x:f>IF(OR(C228="",G228="",H228=""),"",LET(hs,XLOOKUP(C228,'Jogos_MataMata'!$A$2:$A$33,'Jogos_MataMata'!$O$2:$O$33,""),as,XLOOKUP(C228,'Jogos_MataMata'!$A$2:$A$33,'Jogos_MataMata'!$P$2:$P$33,""),win,XLOOKUP(C228,'Jogos_MataMata'!$A$2:$A$33,'Jogos_MataMata'!$Q$2:$Q$33,""),predWin,IF(G228&gt;H228,E228,IF(H228&gt;G228,F228,"")),IF(OR(hs="",as="",win=""),"",IF(predWin=win,IF(ABS(G228-H228)=ABS(hs-as),8,3),0))))</x:f>
      </x:c>
    </x:row>
    <x:row r="229">
      <x:c r="A229" s="21" t="str"/>
      <x:c r="B229" s="22" t="str"/>
      <x:c r="C229" s="22" t="str"/>
      <x:c r="D229" s="22" t="str">
        <x:f>IF(C229="","",XLOOKUP(C229,'Jogos_MataMata'!$A$2:$A$33,'Jogos_MataMata'!$B$2:$B$33,""))</x:f>
      </x:c>
      <x:c r="E229" s="22" t="str">
        <x:f>IF(C229="","",XLOOKUP(C229,'Jogos_MataMata'!$A$2:$A$33,'Jogos_MataMata'!$J$2:$J$33,""))</x:f>
      </x:c>
      <x:c r="F229" s="22" t="str">
        <x:f>IF(C229="","",XLOOKUP(C229,'Jogos_MataMata'!$A$2:$A$33,'Jogos_MataMata'!$K$2:$K$33,""))</x:f>
      </x:c>
      <x:c r="G229" s="22" t="str"/>
      <x:c r="H229" s="22" t="str"/>
      <x:c r="I229" s="22" t="str">
        <x:f>IF(AND(G229&lt;&gt;"",H229&lt;&gt;""),"SIM","NAO")</x:f>
        <x:v>NAO</x:v>
      </x:c>
      <x:c r="J229" s="23" t="str">
        <x:f>IF(OR(C229="",G229="",H229=""),"",LET(hs,XLOOKUP(C229,'Jogos_MataMata'!$A$2:$A$33,'Jogos_MataMata'!$O$2:$O$33,""),as,XLOOKUP(C229,'Jogos_MataMata'!$A$2:$A$33,'Jogos_MataMata'!$P$2:$P$33,""),win,XLOOKUP(C229,'Jogos_MataMata'!$A$2:$A$33,'Jogos_MataMata'!$Q$2:$Q$33,""),predWin,IF(G229&gt;H229,E229,IF(H229&gt;G229,F229,"")),IF(OR(hs="",as="",win=""),"",IF(predWin=win,IF(ABS(G229-H229)=ABS(hs-as),8,3),0))))</x:f>
      </x:c>
    </x:row>
    <x:row r="230">
      <x:c r="A230" s="21" t="str"/>
      <x:c r="B230" s="22" t="str"/>
      <x:c r="C230" s="22" t="str"/>
      <x:c r="D230" s="22" t="str">
        <x:f>IF(C230="","",XLOOKUP(C230,'Jogos_MataMata'!$A$2:$A$33,'Jogos_MataMata'!$B$2:$B$33,""))</x:f>
      </x:c>
      <x:c r="E230" s="22" t="str">
        <x:f>IF(C230="","",XLOOKUP(C230,'Jogos_MataMata'!$A$2:$A$33,'Jogos_MataMata'!$J$2:$J$33,""))</x:f>
      </x:c>
      <x:c r="F230" s="22" t="str">
        <x:f>IF(C230="","",XLOOKUP(C230,'Jogos_MataMata'!$A$2:$A$33,'Jogos_MataMata'!$K$2:$K$33,""))</x:f>
      </x:c>
      <x:c r="G230" s="22" t="str"/>
      <x:c r="H230" s="22" t="str"/>
      <x:c r="I230" s="22" t="str">
        <x:f>IF(AND(G230&lt;&gt;"",H230&lt;&gt;""),"SIM","NAO")</x:f>
        <x:v>NAO</x:v>
      </x:c>
      <x:c r="J230" s="23" t="str">
        <x:f>IF(OR(C230="",G230="",H230=""),"",LET(hs,XLOOKUP(C230,'Jogos_MataMata'!$A$2:$A$33,'Jogos_MataMata'!$O$2:$O$33,""),as,XLOOKUP(C230,'Jogos_MataMata'!$A$2:$A$33,'Jogos_MataMata'!$P$2:$P$33,""),win,XLOOKUP(C230,'Jogos_MataMata'!$A$2:$A$33,'Jogos_MataMata'!$Q$2:$Q$33,""),predWin,IF(G230&gt;H230,E230,IF(H230&gt;G230,F230,"")),IF(OR(hs="",as="",win=""),"",IF(predWin=win,IF(ABS(G230-H230)=ABS(hs-as),8,3),0))))</x:f>
      </x:c>
    </x:row>
    <x:row r="231">
      <x:c r="A231" s="21" t="str"/>
      <x:c r="B231" s="22" t="str"/>
      <x:c r="C231" s="22" t="str"/>
      <x:c r="D231" s="22" t="str">
        <x:f>IF(C231="","",XLOOKUP(C231,'Jogos_MataMata'!$A$2:$A$33,'Jogos_MataMata'!$B$2:$B$33,""))</x:f>
      </x:c>
      <x:c r="E231" s="22" t="str">
        <x:f>IF(C231="","",XLOOKUP(C231,'Jogos_MataMata'!$A$2:$A$33,'Jogos_MataMata'!$J$2:$J$33,""))</x:f>
      </x:c>
      <x:c r="F231" s="22" t="str">
        <x:f>IF(C231="","",XLOOKUP(C231,'Jogos_MataMata'!$A$2:$A$33,'Jogos_MataMata'!$K$2:$K$33,""))</x:f>
      </x:c>
      <x:c r="G231" s="22" t="str"/>
      <x:c r="H231" s="22" t="str"/>
      <x:c r="I231" s="22" t="str">
        <x:f>IF(AND(G231&lt;&gt;"",H231&lt;&gt;""),"SIM","NAO")</x:f>
        <x:v>NAO</x:v>
      </x:c>
      <x:c r="J231" s="23" t="str">
        <x:f>IF(OR(C231="",G231="",H231=""),"",LET(hs,XLOOKUP(C231,'Jogos_MataMata'!$A$2:$A$33,'Jogos_MataMata'!$O$2:$O$33,""),as,XLOOKUP(C231,'Jogos_MataMata'!$A$2:$A$33,'Jogos_MataMata'!$P$2:$P$33,""),win,XLOOKUP(C231,'Jogos_MataMata'!$A$2:$A$33,'Jogos_MataMata'!$Q$2:$Q$33,""),predWin,IF(G231&gt;H231,E231,IF(H231&gt;G231,F231,"")),IF(OR(hs="",as="",win=""),"",IF(predWin=win,IF(ABS(G231-H231)=ABS(hs-as),8,3),0))))</x:f>
      </x:c>
    </x:row>
    <x:row r="232">
      <x:c r="A232" s="21" t="str"/>
      <x:c r="B232" s="22" t="str"/>
      <x:c r="C232" s="22" t="str"/>
      <x:c r="D232" s="22" t="str">
        <x:f>IF(C232="","",XLOOKUP(C232,'Jogos_MataMata'!$A$2:$A$33,'Jogos_MataMata'!$B$2:$B$33,""))</x:f>
      </x:c>
      <x:c r="E232" s="22" t="str">
        <x:f>IF(C232="","",XLOOKUP(C232,'Jogos_MataMata'!$A$2:$A$33,'Jogos_MataMata'!$J$2:$J$33,""))</x:f>
      </x:c>
      <x:c r="F232" s="22" t="str">
        <x:f>IF(C232="","",XLOOKUP(C232,'Jogos_MataMata'!$A$2:$A$33,'Jogos_MataMata'!$K$2:$K$33,""))</x:f>
      </x:c>
      <x:c r="G232" s="22" t="str"/>
      <x:c r="H232" s="22" t="str"/>
      <x:c r="I232" s="22" t="str">
        <x:f>IF(AND(G232&lt;&gt;"",H232&lt;&gt;""),"SIM","NAO")</x:f>
        <x:v>NAO</x:v>
      </x:c>
      <x:c r="J232" s="23" t="str">
        <x:f>IF(OR(C232="",G232="",H232=""),"",LET(hs,XLOOKUP(C232,'Jogos_MataMata'!$A$2:$A$33,'Jogos_MataMata'!$O$2:$O$33,""),as,XLOOKUP(C232,'Jogos_MataMata'!$A$2:$A$33,'Jogos_MataMata'!$P$2:$P$33,""),win,XLOOKUP(C232,'Jogos_MataMata'!$A$2:$A$33,'Jogos_MataMata'!$Q$2:$Q$33,""),predWin,IF(G232&gt;H232,E232,IF(H232&gt;G232,F232,"")),IF(OR(hs="",as="",win=""),"",IF(predWin=win,IF(ABS(G232-H232)=ABS(hs-as),8,3),0))))</x:f>
      </x:c>
    </x:row>
    <x:row r="233">
      <x:c r="A233" s="21" t="str"/>
      <x:c r="B233" s="22" t="str"/>
      <x:c r="C233" s="22" t="str"/>
      <x:c r="D233" s="22" t="str">
        <x:f>IF(C233="","",XLOOKUP(C233,'Jogos_MataMata'!$A$2:$A$33,'Jogos_MataMata'!$B$2:$B$33,""))</x:f>
      </x:c>
      <x:c r="E233" s="22" t="str">
        <x:f>IF(C233="","",XLOOKUP(C233,'Jogos_MataMata'!$A$2:$A$33,'Jogos_MataMata'!$J$2:$J$33,""))</x:f>
      </x:c>
      <x:c r="F233" s="22" t="str">
        <x:f>IF(C233="","",XLOOKUP(C233,'Jogos_MataMata'!$A$2:$A$33,'Jogos_MataMata'!$K$2:$K$33,""))</x:f>
      </x:c>
      <x:c r="G233" s="22" t="str"/>
      <x:c r="H233" s="22" t="str"/>
      <x:c r="I233" s="22" t="str">
        <x:f>IF(AND(G233&lt;&gt;"",H233&lt;&gt;""),"SIM","NAO")</x:f>
        <x:v>NAO</x:v>
      </x:c>
      <x:c r="J233" s="23" t="str">
        <x:f>IF(OR(C233="",G233="",H233=""),"",LET(hs,XLOOKUP(C233,'Jogos_MataMata'!$A$2:$A$33,'Jogos_MataMata'!$O$2:$O$33,""),as,XLOOKUP(C233,'Jogos_MataMata'!$A$2:$A$33,'Jogos_MataMata'!$P$2:$P$33,""),win,XLOOKUP(C233,'Jogos_MataMata'!$A$2:$A$33,'Jogos_MataMata'!$Q$2:$Q$33,""),predWin,IF(G233&gt;H233,E233,IF(H233&gt;G233,F233,"")),IF(OR(hs="",as="",win=""),"",IF(predWin=win,IF(ABS(G233-H233)=ABS(hs-as),8,3),0))))</x:f>
      </x:c>
    </x:row>
    <x:row r="234">
      <x:c r="A234" s="21" t="str"/>
      <x:c r="B234" s="22" t="str"/>
      <x:c r="C234" s="22" t="str"/>
      <x:c r="D234" s="22" t="str">
        <x:f>IF(C234="","",XLOOKUP(C234,'Jogos_MataMata'!$A$2:$A$33,'Jogos_MataMata'!$B$2:$B$33,""))</x:f>
      </x:c>
      <x:c r="E234" s="22" t="str">
        <x:f>IF(C234="","",XLOOKUP(C234,'Jogos_MataMata'!$A$2:$A$33,'Jogos_MataMata'!$J$2:$J$33,""))</x:f>
      </x:c>
      <x:c r="F234" s="22" t="str">
        <x:f>IF(C234="","",XLOOKUP(C234,'Jogos_MataMata'!$A$2:$A$33,'Jogos_MataMata'!$K$2:$K$33,""))</x:f>
      </x:c>
      <x:c r="G234" s="22" t="str"/>
      <x:c r="H234" s="22" t="str"/>
      <x:c r="I234" s="22" t="str">
        <x:f>IF(AND(G234&lt;&gt;"",H234&lt;&gt;""),"SIM","NAO")</x:f>
        <x:v>NAO</x:v>
      </x:c>
      <x:c r="J234" s="23" t="str">
        <x:f>IF(OR(C234="",G234="",H234=""),"",LET(hs,XLOOKUP(C234,'Jogos_MataMata'!$A$2:$A$33,'Jogos_MataMata'!$O$2:$O$33,""),as,XLOOKUP(C234,'Jogos_MataMata'!$A$2:$A$33,'Jogos_MataMata'!$P$2:$P$33,""),win,XLOOKUP(C234,'Jogos_MataMata'!$A$2:$A$33,'Jogos_MataMata'!$Q$2:$Q$33,""),predWin,IF(G234&gt;H234,E234,IF(H234&gt;G234,F234,"")),IF(OR(hs="",as="",win=""),"",IF(predWin=win,IF(ABS(G234-H234)=ABS(hs-as),8,3),0))))</x:f>
      </x:c>
    </x:row>
    <x:row r="235">
      <x:c r="A235" s="21" t="str"/>
      <x:c r="B235" s="22" t="str"/>
      <x:c r="C235" s="22" t="str"/>
      <x:c r="D235" s="22" t="str">
        <x:f>IF(C235="","",XLOOKUP(C235,'Jogos_MataMata'!$A$2:$A$33,'Jogos_MataMata'!$B$2:$B$33,""))</x:f>
      </x:c>
      <x:c r="E235" s="22" t="str">
        <x:f>IF(C235="","",XLOOKUP(C235,'Jogos_MataMata'!$A$2:$A$33,'Jogos_MataMata'!$J$2:$J$33,""))</x:f>
      </x:c>
      <x:c r="F235" s="22" t="str">
        <x:f>IF(C235="","",XLOOKUP(C235,'Jogos_MataMata'!$A$2:$A$33,'Jogos_MataMata'!$K$2:$K$33,""))</x:f>
      </x:c>
      <x:c r="G235" s="22" t="str"/>
      <x:c r="H235" s="22" t="str"/>
      <x:c r="I235" s="22" t="str">
        <x:f>IF(AND(G235&lt;&gt;"",H235&lt;&gt;""),"SIM","NAO")</x:f>
        <x:v>NAO</x:v>
      </x:c>
      <x:c r="J235" s="23" t="str">
        <x:f>IF(OR(C235="",G235="",H235=""),"",LET(hs,XLOOKUP(C235,'Jogos_MataMata'!$A$2:$A$33,'Jogos_MataMata'!$O$2:$O$33,""),as,XLOOKUP(C235,'Jogos_MataMata'!$A$2:$A$33,'Jogos_MataMata'!$P$2:$P$33,""),win,XLOOKUP(C235,'Jogos_MataMata'!$A$2:$A$33,'Jogos_MataMata'!$Q$2:$Q$33,""),predWin,IF(G235&gt;H235,E235,IF(H235&gt;G235,F235,"")),IF(OR(hs="",as="",win=""),"",IF(predWin=win,IF(ABS(G235-H235)=ABS(hs-as),8,3),0))))</x:f>
      </x:c>
    </x:row>
    <x:row r="236">
      <x:c r="A236" s="21" t="str"/>
      <x:c r="B236" s="22" t="str"/>
      <x:c r="C236" s="22" t="str"/>
      <x:c r="D236" s="22" t="str">
        <x:f>IF(C236="","",XLOOKUP(C236,'Jogos_MataMata'!$A$2:$A$33,'Jogos_MataMata'!$B$2:$B$33,""))</x:f>
      </x:c>
      <x:c r="E236" s="22" t="str">
        <x:f>IF(C236="","",XLOOKUP(C236,'Jogos_MataMata'!$A$2:$A$33,'Jogos_MataMata'!$J$2:$J$33,""))</x:f>
      </x:c>
      <x:c r="F236" s="22" t="str">
        <x:f>IF(C236="","",XLOOKUP(C236,'Jogos_MataMata'!$A$2:$A$33,'Jogos_MataMata'!$K$2:$K$33,""))</x:f>
      </x:c>
      <x:c r="G236" s="22" t="str"/>
      <x:c r="H236" s="22" t="str"/>
      <x:c r="I236" s="22" t="str">
        <x:f>IF(AND(G236&lt;&gt;"",H236&lt;&gt;""),"SIM","NAO")</x:f>
        <x:v>NAO</x:v>
      </x:c>
      <x:c r="J236" s="23" t="str">
        <x:f>IF(OR(C236="",G236="",H236=""),"",LET(hs,XLOOKUP(C236,'Jogos_MataMata'!$A$2:$A$33,'Jogos_MataMata'!$O$2:$O$33,""),as,XLOOKUP(C236,'Jogos_MataMata'!$A$2:$A$33,'Jogos_MataMata'!$P$2:$P$33,""),win,XLOOKUP(C236,'Jogos_MataMata'!$A$2:$A$33,'Jogos_MataMata'!$Q$2:$Q$33,""),predWin,IF(G236&gt;H236,E236,IF(H236&gt;G236,F236,"")),IF(OR(hs="",as="",win=""),"",IF(predWin=win,IF(ABS(G236-H236)=ABS(hs-as),8,3),0))))</x:f>
      </x:c>
    </x:row>
    <x:row r="237">
      <x:c r="A237" s="21" t="str"/>
      <x:c r="B237" s="22" t="str"/>
      <x:c r="C237" s="22" t="str"/>
      <x:c r="D237" s="22" t="str">
        <x:f>IF(C237="","",XLOOKUP(C237,'Jogos_MataMata'!$A$2:$A$33,'Jogos_MataMata'!$B$2:$B$33,""))</x:f>
      </x:c>
      <x:c r="E237" s="22" t="str">
        <x:f>IF(C237="","",XLOOKUP(C237,'Jogos_MataMata'!$A$2:$A$33,'Jogos_MataMata'!$J$2:$J$33,""))</x:f>
      </x:c>
      <x:c r="F237" s="22" t="str">
        <x:f>IF(C237="","",XLOOKUP(C237,'Jogos_MataMata'!$A$2:$A$33,'Jogos_MataMata'!$K$2:$K$33,""))</x:f>
      </x:c>
      <x:c r="G237" s="22" t="str"/>
      <x:c r="H237" s="22" t="str"/>
      <x:c r="I237" s="22" t="str">
        <x:f>IF(AND(G237&lt;&gt;"",H237&lt;&gt;""),"SIM","NAO")</x:f>
        <x:v>NAO</x:v>
      </x:c>
      <x:c r="J237" s="23" t="str">
        <x:f>IF(OR(C237="",G237="",H237=""),"",LET(hs,XLOOKUP(C237,'Jogos_MataMata'!$A$2:$A$33,'Jogos_MataMata'!$O$2:$O$33,""),as,XLOOKUP(C237,'Jogos_MataMata'!$A$2:$A$33,'Jogos_MataMata'!$P$2:$P$33,""),win,XLOOKUP(C237,'Jogos_MataMata'!$A$2:$A$33,'Jogos_MataMata'!$Q$2:$Q$33,""),predWin,IF(G237&gt;H237,E237,IF(H237&gt;G237,F237,"")),IF(OR(hs="",as="",win=""),"",IF(predWin=win,IF(ABS(G237-H237)=ABS(hs-as),8,3),0))))</x:f>
      </x:c>
    </x:row>
    <x:row r="238">
      <x:c r="A238" s="21" t="str"/>
      <x:c r="B238" s="22" t="str"/>
      <x:c r="C238" s="22" t="str"/>
      <x:c r="D238" s="22" t="str">
        <x:f>IF(C238="","",XLOOKUP(C238,'Jogos_MataMata'!$A$2:$A$33,'Jogos_MataMata'!$B$2:$B$33,""))</x:f>
      </x:c>
      <x:c r="E238" s="22" t="str">
        <x:f>IF(C238="","",XLOOKUP(C238,'Jogos_MataMata'!$A$2:$A$33,'Jogos_MataMata'!$J$2:$J$33,""))</x:f>
      </x:c>
      <x:c r="F238" s="22" t="str">
        <x:f>IF(C238="","",XLOOKUP(C238,'Jogos_MataMata'!$A$2:$A$33,'Jogos_MataMata'!$K$2:$K$33,""))</x:f>
      </x:c>
      <x:c r="G238" s="22" t="str"/>
      <x:c r="H238" s="22" t="str"/>
      <x:c r="I238" s="22" t="str">
        <x:f>IF(AND(G238&lt;&gt;"",H238&lt;&gt;""),"SIM","NAO")</x:f>
        <x:v>NAO</x:v>
      </x:c>
      <x:c r="J238" s="23" t="str">
        <x:f>IF(OR(C238="",G238="",H238=""),"",LET(hs,XLOOKUP(C238,'Jogos_MataMata'!$A$2:$A$33,'Jogos_MataMata'!$O$2:$O$33,""),as,XLOOKUP(C238,'Jogos_MataMata'!$A$2:$A$33,'Jogos_MataMata'!$P$2:$P$33,""),win,XLOOKUP(C238,'Jogos_MataMata'!$A$2:$A$33,'Jogos_MataMata'!$Q$2:$Q$33,""),predWin,IF(G238&gt;H238,E238,IF(H238&gt;G238,F238,"")),IF(OR(hs="",as="",win=""),"",IF(predWin=win,IF(ABS(G238-H238)=ABS(hs-as),8,3),0))))</x:f>
      </x:c>
    </x:row>
    <x:row r="239">
      <x:c r="A239" s="21" t="str"/>
      <x:c r="B239" s="22" t="str"/>
      <x:c r="C239" s="22" t="str"/>
      <x:c r="D239" s="22" t="str">
        <x:f>IF(C239="","",XLOOKUP(C239,'Jogos_MataMata'!$A$2:$A$33,'Jogos_MataMata'!$B$2:$B$33,""))</x:f>
      </x:c>
      <x:c r="E239" s="22" t="str">
        <x:f>IF(C239="","",XLOOKUP(C239,'Jogos_MataMata'!$A$2:$A$33,'Jogos_MataMata'!$J$2:$J$33,""))</x:f>
      </x:c>
      <x:c r="F239" s="22" t="str">
        <x:f>IF(C239="","",XLOOKUP(C239,'Jogos_MataMata'!$A$2:$A$33,'Jogos_MataMata'!$K$2:$K$33,""))</x:f>
      </x:c>
      <x:c r="G239" s="22" t="str"/>
      <x:c r="H239" s="22" t="str"/>
      <x:c r="I239" s="22" t="str">
        <x:f>IF(AND(G239&lt;&gt;"",H239&lt;&gt;""),"SIM","NAO")</x:f>
        <x:v>NAO</x:v>
      </x:c>
      <x:c r="J239" s="23" t="str">
        <x:f>IF(OR(C239="",G239="",H239=""),"",LET(hs,XLOOKUP(C239,'Jogos_MataMata'!$A$2:$A$33,'Jogos_MataMata'!$O$2:$O$33,""),as,XLOOKUP(C239,'Jogos_MataMata'!$A$2:$A$33,'Jogos_MataMata'!$P$2:$P$33,""),win,XLOOKUP(C239,'Jogos_MataMata'!$A$2:$A$33,'Jogos_MataMata'!$Q$2:$Q$33,""),predWin,IF(G239&gt;H239,E239,IF(H239&gt;G239,F239,"")),IF(OR(hs="",as="",win=""),"",IF(predWin=win,IF(ABS(G239-H239)=ABS(hs-as),8,3),0))))</x:f>
      </x:c>
    </x:row>
    <x:row r="240">
      <x:c r="A240" s="21" t="str"/>
      <x:c r="B240" s="22" t="str"/>
      <x:c r="C240" s="22" t="str"/>
      <x:c r="D240" s="22" t="str">
        <x:f>IF(C240="","",XLOOKUP(C240,'Jogos_MataMata'!$A$2:$A$33,'Jogos_MataMata'!$B$2:$B$33,""))</x:f>
      </x:c>
      <x:c r="E240" s="22" t="str">
        <x:f>IF(C240="","",XLOOKUP(C240,'Jogos_MataMata'!$A$2:$A$33,'Jogos_MataMata'!$J$2:$J$33,""))</x:f>
      </x:c>
      <x:c r="F240" s="22" t="str">
        <x:f>IF(C240="","",XLOOKUP(C240,'Jogos_MataMata'!$A$2:$A$33,'Jogos_MataMata'!$K$2:$K$33,""))</x:f>
      </x:c>
      <x:c r="G240" s="22" t="str"/>
      <x:c r="H240" s="22" t="str"/>
      <x:c r="I240" s="22" t="str">
        <x:f>IF(AND(G240&lt;&gt;"",H240&lt;&gt;""),"SIM","NAO")</x:f>
        <x:v>NAO</x:v>
      </x:c>
      <x:c r="J240" s="23" t="str">
        <x:f>IF(OR(C240="",G240="",H240=""),"",LET(hs,XLOOKUP(C240,'Jogos_MataMata'!$A$2:$A$33,'Jogos_MataMata'!$O$2:$O$33,""),as,XLOOKUP(C240,'Jogos_MataMata'!$A$2:$A$33,'Jogos_MataMata'!$P$2:$P$33,""),win,XLOOKUP(C240,'Jogos_MataMata'!$A$2:$A$33,'Jogos_MataMata'!$Q$2:$Q$33,""),predWin,IF(G240&gt;H240,E240,IF(H240&gt;G240,F240,"")),IF(OR(hs="",as="",win=""),"",IF(predWin=win,IF(ABS(G240-H240)=ABS(hs-as),8,3),0))))</x:f>
      </x:c>
    </x:row>
    <x:row r="241">
      <x:c r="A241" s="21" t="str"/>
      <x:c r="B241" s="22" t="str"/>
      <x:c r="C241" s="22" t="str"/>
      <x:c r="D241" s="22" t="str">
        <x:f>IF(C241="","",XLOOKUP(C241,'Jogos_MataMata'!$A$2:$A$33,'Jogos_MataMata'!$B$2:$B$33,""))</x:f>
      </x:c>
      <x:c r="E241" s="22" t="str">
        <x:f>IF(C241="","",XLOOKUP(C241,'Jogos_MataMata'!$A$2:$A$33,'Jogos_MataMata'!$J$2:$J$33,""))</x:f>
      </x:c>
      <x:c r="F241" s="22" t="str">
        <x:f>IF(C241="","",XLOOKUP(C241,'Jogos_MataMata'!$A$2:$A$33,'Jogos_MataMata'!$K$2:$K$33,""))</x:f>
      </x:c>
      <x:c r="G241" s="22" t="str"/>
      <x:c r="H241" s="22" t="str"/>
      <x:c r="I241" s="22" t="str">
        <x:f>IF(AND(G241&lt;&gt;"",H241&lt;&gt;""),"SIM","NAO")</x:f>
        <x:v>NAO</x:v>
      </x:c>
      <x:c r="J241" s="23" t="str">
        <x:f>IF(OR(C241="",G241="",H241=""),"",LET(hs,XLOOKUP(C241,'Jogos_MataMata'!$A$2:$A$33,'Jogos_MataMata'!$O$2:$O$33,""),as,XLOOKUP(C241,'Jogos_MataMata'!$A$2:$A$33,'Jogos_MataMata'!$P$2:$P$33,""),win,XLOOKUP(C241,'Jogos_MataMata'!$A$2:$A$33,'Jogos_MataMata'!$Q$2:$Q$33,""),predWin,IF(G241&gt;H241,E241,IF(H241&gt;G241,F241,"")),IF(OR(hs="",as="",win=""),"",IF(predWin=win,IF(ABS(G241-H241)=ABS(hs-as),8,3),0))))</x:f>
      </x:c>
    </x:row>
    <x:row r="242">
      <x:c r="A242" s="21" t="str"/>
      <x:c r="B242" s="22" t="str"/>
      <x:c r="C242" s="22" t="str"/>
      <x:c r="D242" s="22" t="str">
        <x:f>IF(C242="","",XLOOKUP(C242,'Jogos_MataMata'!$A$2:$A$33,'Jogos_MataMata'!$B$2:$B$33,""))</x:f>
      </x:c>
      <x:c r="E242" s="22" t="str">
        <x:f>IF(C242="","",XLOOKUP(C242,'Jogos_MataMata'!$A$2:$A$33,'Jogos_MataMata'!$J$2:$J$33,""))</x:f>
      </x:c>
      <x:c r="F242" s="22" t="str">
        <x:f>IF(C242="","",XLOOKUP(C242,'Jogos_MataMata'!$A$2:$A$33,'Jogos_MataMata'!$K$2:$K$33,""))</x:f>
      </x:c>
      <x:c r="G242" s="22" t="str"/>
      <x:c r="H242" s="22" t="str"/>
      <x:c r="I242" s="22" t="str">
        <x:f>IF(AND(G242&lt;&gt;"",H242&lt;&gt;""),"SIM","NAO")</x:f>
        <x:v>NAO</x:v>
      </x:c>
      <x:c r="J242" s="23" t="str">
        <x:f>IF(OR(C242="",G242="",H242=""),"",LET(hs,XLOOKUP(C242,'Jogos_MataMata'!$A$2:$A$33,'Jogos_MataMata'!$O$2:$O$33,""),as,XLOOKUP(C242,'Jogos_MataMata'!$A$2:$A$33,'Jogos_MataMata'!$P$2:$P$33,""),win,XLOOKUP(C242,'Jogos_MataMata'!$A$2:$A$33,'Jogos_MataMata'!$Q$2:$Q$33,""),predWin,IF(G242&gt;H242,E242,IF(H242&gt;G242,F242,"")),IF(OR(hs="",as="",win=""),"",IF(predWin=win,IF(ABS(G242-H242)=ABS(hs-as),8,3),0))))</x:f>
      </x:c>
    </x:row>
    <x:row r="243">
      <x:c r="A243" s="21" t="str"/>
      <x:c r="B243" s="22" t="str"/>
      <x:c r="C243" s="22" t="str"/>
      <x:c r="D243" s="22" t="str">
        <x:f>IF(C243="","",XLOOKUP(C243,'Jogos_MataMata'!$A$2:$A$33,'Jogos_MataMata'!$B$2:$B$33,""))</x:f>
      </x:c>
      <x:c r="E243" s="22" t="str">
        <x:f>IF(C243="","",XLOOKUP(C243,'Jogos_MataMata'!$A$2:$A$33,'Jogos_MataMata'!$J$2:$J$33,""))</x:f>
      </x:c>
      <x:c r="F243" s="22" t="str">
        <x:f>IF(C243="","",XLOOKUP(C243,'Jogos_MataMata'!$A$2:$A$33,'Jogos_MataMata'!$K$2:$K$33,""))</x:f>
      </x:c>
      <x:c r="G243" s="22" t="str"/>
      <x:c r="H243" s="22" t="str"/>
      <x:c r="I243" s="22" t="str">
        <x:f>IF(AND(G243&lt;&gt;"",H243&lt;&gt;""),"SIM","NAO")</x:f>
        <x:v>NAO</x:v>
      </x:c>
      <x:c r="J243" s="23" t="str">
        <x:f>IF(OR(C243="",G243="",H243=""),"",LET(hs,XLOOKUP(C243,'Jogos_MataMata'!$A$2:$A$33,'Jogos_MataMata'!$O$2:$O$33,""),as,XLOOKUP(C243,'Jogos_MataMata'!$A$2:$A$33,'Jogos_MataMata'!$P$2:$P$33,""),win,XLOOKUP(C243,'Jogos_MataMata'!$A$2:$A$33,'Jogos_MataMata'!$Q$2:$Q$33,""),predWin,IF(G243&gt;H243,E243,IF(H243&gt;G243,F243,"")),IF(OR(hs="",as="",win=""),"",IF(predWin=win,IF(ABS(G243-H243)=ABS(hs-as),8,3),0))))</x:f>
      </x:c>
    </x:row>
    <x:row r="244">
      <x:c r="A244" s="21" t="str"/>
      <x:c r="B244" s="22" t="str"/>
      <x:c r="C244" s="22" t="str"/>
      <x:c r="D244" s="22" t="str">
        <x:f>IF(C244="","",XLOOKUP(C244,'Jogos_MataMata'!$A$2:$A$33,'Jogos_MataMata'!$B$2:$B$33,""))</x:f>
      </x:c>
      <x:c r="E244" s="22" t="str">
        <x:f>IF(C244="","",XLOOKUP(C244,'Jogos_MataMata'!$A$2:$A$33,'Jogos_MataMata'!$J$2:$J$33,""))</x:f>
      </x:c>
      <x:c r="F244" s="22" t="str">
        <x:f>IF(C244="","",XLOOKUP(C244,'Jogos_MataMata'!$A$2:$A$33,'Jogos_MataMata'!$K$2:$K$33,""))</x:f>
      </x:c>
      <x:c r="G244" s="22" t="str"/>
      <x:c r="H244" s="22" t="str"/>
      <x:c r="I244" s="22" t="str">
        <x:f>IF(AND(G244&lt;&gt;"",H244&lt;&gt;""),"SIM","NAO")</x:f>
        <x:v>NAO</x:v>
      </x:c>
      <x:c r="J244" s="23" t="str">
        <x:f>IF(OR(C244="",G244="",H244=""),"",LET(hs,XLOOKUP(C244,'Jogos_MataMata'!$A$2:$A$33,'Jogos_MataMata'!$O$2:$O$33,""),as,XLOOKUP(C244,'Jogos_MataMata'!$A$2:$A$33,'Jogos_MataMata'!$P$2:$P$33,""),win,XLOOKUP(C244,'Jogos_MataMata'!$A$2:$A$33,'Jogos_MataMata'!$Q$2:$Q$33,""),predWin,IF(G244&gt;H244,E244,IF(H244&gt;G244,F244,"")),IF(OR(hs="",as="",win=""),"",IF(predWin=win,IF(ABS(G244-H244)=ABS(hs-as),8,3),0))))</x:f>
      </x:c>
    </x:row>
    <x:row r="245">
      <x:c r="A245" s="21" t="str"/>
      <x:c r="B245" s="22" t="str"/>
      <x:c r="C245" s="22" t="str"/>
      <x:c r="D245" s="22" t="str">
        <x:f>IF(C245="","",XLOOKUP(C245,'Jogos_MataMata'!$A$2:$A$33,'Jogos_MataMata'!$B$2:$B$33,""))</x:f>
      </x:c>
      <x:c r="E245" s="22" t="str">
        <x:f>IF(C245="","",XLOOKUP(C245,'Jogos_MataMata'!$A$2:$A$33,'Jogos_MataMata'!$J$2:$J$33,""))</x:f>
      </x:c>
      <x:c r="F245" s="22" t="str">
        <x:f>IF(C245="","",XLOOKUP(C245,'Jogos_MataMata'!$A$2:$A$33,'Jogos_MataMata'!$K$2:$K$33,""))</x:f>
      </x:c>
      <x:c r="G245" s="22" t="str"/>
      <x:c r="H245" s="22" t="str"/>
      <x:c r="I245" s="22" t="str">
        <x:f>IF(AND(G245&lt;&gt;"",H245&lt;&gt;""),"SIM","NAO")</x:f>
        <x:v>NAO</x:v>
      </x:c>
      <x:c r="J245" s="23" t="str">
        <x:f>IF(OR(C245="",G245="",H245=""),"",LET(hs,XLOOKUP(C245,'Jogos_MataMata'!$A$2:$A$33,'Jogos_MataMata'!$O$2:$O$33,""),as,XLOOKUP(C245,'Jogos_MataMata'!$A$2:$A$33,'Jogos_MataMata'!$P$2:$P$33,""),win,XLOOKUP(C245,'Jogos_MataMata'!$A$2:$A$33,'Jogos_MataMata'!$Q$2:$Q$33,""),predWin,IF(G245&gt;H245,E245,IF(H245&gt;G245,F245,"")),IF(OR(hs="",as="",win=""),"",IF(predWin=win,IF(ABS(G245-H245)=ABS(hs-as),8,3),0))))</x:f>
      </x:c>
    </x:row>
    <x:row r="246">
      <x:c r="A246" s="21" t="str"/>
      <x:c r="B246" s="22" t="str"/>
      <x:c r="C246" s="22" t="str"/>
      <x:c r="D246" s="22" t="str">
        <x:f>IF(C246="","",XLOOKUP(C246,'Jogos_MataMata'!$A$2:$A$33,'Jogos_MataMata'!$B$2:$B$33,""))</x:f>
      </x:c>
      <x:c r="E246" s="22" t="str">
        <x:f>IF(C246="","",XLOOKUP(C246,'Jogos_MataMata'!$A$2:$A$33,'Jogos_MataMata'!$J$2:$J$33,""))</x:f>
      </x:c>
      <x:c r="F246" s="22" t="str">
        <x:f>IF(C246="","",XLOOKUP(C246,'Jogos_MataMata'!$A$2:$A$33,'Jogos_MataMata'!$K$2:$K$33,""))</x:f>
      </x:c>
      <x:c r="G246" s="22" t="str"/>
      <x:c r="H246" s="22" t="str"/>
      <x:c r="I246" s="22" t="str">
        <x:f>IF(AND(G246&lt;&gt;"",H246&lt;&gt;""),"SIM","NAO")</x:f>
        <x:v>NAO</x:v>
      </x:c>
      <x:c r="J246" s="23" t="str">
        <x:f>IF(OR(C246="",G246="",H246=""),"",LET(hs,XLOOKUP(C246,'Jogos_MataMata'!$A$2:$A$33,'Jogos_MataMata'!$O$2:$O$33,""),as,XLOOKUP(C246,'Jogos_MataMata'!$A$2:$A$33,'Jogos_MataMata'!$P$2:$P$33,""),win,XLOOKUP(C246,'Jogos_MataMata'!$A$2:$A$33,'Jogos_MataMata'!$Q$2:$Q$33,""),predWin,IF(G246&gt;H246,E246,IF(H246&gt;G246,F246,"")),IF(OR(hs="",as="",win=""),"",IF(predWin=win,IF(ABS(G246-H246)=ABS(hs-as),8,3),0))))</x:f>
      </x:c>
    </x:row>
    <x:row r="247">
      <x:c r="A247" s="21" t="str"/>
      <x:c r="B247" s="22" t="str"/>
      <x:c r="C247" s="22" t="str"/>
      <x:c r="D247" s="22" t="str">
        <x:f>IF(C247="","",XLOOKUP(C247,'Jogos_MataMata'!$A$2:$A$33,'Jogos_MataMata'!$B$2:$B$33,""))</x:f>
      </x:c>
      <x:c r="E247" s="22" t="str">
        <x:f>IF(C247="","",XLOOKUP(C247,'Jogos_MataMata'!$A$2:$A$33,'Jogos_MataMata'!$J$2:$J$33,""))</x:f>
      </x:c>
      <x:c r="F247" s="22" t="str">
        <x:f>IF(C247="","",XLOOKUP(C247,'Jogos_MataMata'!$A$2:$A$33,'Jogos_MataMata'!$K$2:$K$33,""))</x:f>
      </x:c>
      <x:c r="G247" s="22" t="str"/>
      <x:c r="H247" s="22" t="str"/>
      <x:c r="I247" s="22" t="str">
        <x:f>IF(AND(G247&lt;&gt;"",H247&lt;&gt;""),"SIM","NAO")</x:f>
        <x:v>NAO</x:v>
      </x:c>
      <x:c r="J247" s="23" t="str">
        <x:f>IF(OR(C247="",G247="",H247=""),"",LET(hs,XLOOKUP(C247,'Jogos_MataMata'!$A$2:$A$33,'Jogos_MataMata'!$O$2:$O$33,""),as,XLOOKUP(C247,'Jogos_MataMata'!$A$2:$A$33,'Jogos_MataMata'!$P$2:$P$33,""),win,XLOOKUP(C247,'Jogos_MataMata'!$A$2:$A$33,'Jogos_MataMata'!$Q$2:$Q$33,""),predWin,IF(G247&gt;H247,E247,IF(H247&gt;G247,F247,"")),IF(OR(hs="",as="",win=""),"",IF(predWin=win,IF(ABS(G247-H247)=ABS(hs-as),8,3),0))))</x:f>
      </x:c>
    </x:row>
    <x:row r="248">
      <x:c r="A248" s="21" t="str"/>
      <x:c r="B248" s="22" t="str"/>
      <x:c r="C248" s="22" t="str"/>
      <x:c r="D248" s="22" t="str">
        <x:f>IF(C248="","",XLOOKUP(C248,'Jogos_MataMata'!$A$2:$A$33,'Jogos_MataMata'!$B$2:$B$33,""))</x:f>
      </x:c>
      <x:c r="E248" s="22" t="str">
        <x:f>IF(C248="","",XLOOKUP(C248,'Jogos_MataMata'!$A$2:$A$33,'Jogos_MataMata'!$J$2:$J$33,""))</x:f>
      </x:c>
      <x:c r="F248" s="22" t="str">
        <x:f>IF(C248="","",XLOOKUP(C248,'Jogos_MataMata'!$A$2:$A$33,'Jogos_MataMata'!$K$2:$K$33,""))</x:f>
      </x:c>
      <x:c r="G248" s="22" t="str"/>
      <x:c r="H248" s="22" t="str"/>
      <x:c r="I248" s="22" t="str">
        <x:f>IF(AND(G248&lt;&gt;"",H248&lt;&gt;""),"SIM","NAO")</x:f>
        <x:v>NAO</x:v>
      </x:c>
      <x:c r="J248" s="23" t="str">
        <x:f>IF(OR(C248="",G248="",H248=""),"",LET(hs,XLOOKUP(C248,'Jogos_MataMata'!$A$2:$A$33,'Jogos_MataMata'!$O$2:$O$33,""),as,XLOOKUP(C248,'Jogos_MataMata'!$A$2:$A$33,'Jogos_MataMata'!$P$2:$P$33,""),win,XLOOKUP(C248,'Jogos_MataMata'!$A$2:$A$33,'Jogos_MataMata'!$Q$2:$Q$33,""),predWin,IF(G248&gt;H248,E248,IF(H248&gt;G248,F248,"")),IF(OR(hs="",as="",win=""),"",IF(predWin=win,IF(ABS(G248-H248)=ABS(hs-as),8,3),0))))</x:f>
      </x:c>
    </x:row>
    <x:row r="249">
      <x:c r="A249" s="21" t="str"/>
      <x:c r="B249" s="22" t="str"/>
      <x:c r="C249" s="22" t="str"/>
      <x:c r="D249" s="22" t="str">
        <x:f>IF(C249="","",XLOOKUP(C249,'Jogos_MataMata'!$A$2:$A$33,'Jogos_MataMata'!$B$2:$B$33,""))</x:f>
      </x:c>
      <x:c r="E249" s="22" t="str">
        <x:f>IF(C249="","",XLOOKUP(C249,'Jogos_MataMata'!$A$2:$A$33,'Jogos_MataMata'!$J$2:$J$33,""))</x:f>
      </x:c>
      <x:c r="F249" s="22" t="str">
        <x:f>IF(C249="","",XLOOKUP(C249,'Jogos_MataMata'!$A$2:$A$33,'Jogos_MataMata'!$K$2:$K$33,""))</x:f>
      </x:c>
      <x:c r="G249" s="22" t="str"/>
      <x:c r="H249" s="22" t="str"/>
      <x:c r="I249" s="22" t="str">
        <x:f>IF(AND(G249&lt;&gt;"",H249&lt;&gt;""),"SIM","NAO")</x:f>
        <x:v>NAO</x:v>
      </x:c>
      <x:c r="J249" s="23" t="str">
        <x:f>IF(OR(C249="",G249="",H249=""),"",LET(hs,XLOOKUP(C249,'Jogos_MataMata'!$A$2:$A$33,'Jogos_MataMata'!$O$2:$O$33,""),as,XLOOKUP(C249,'Jogos_MataMata'!$A$2:$A$33,'Jogos_MataMata'!$P$2:$P$33,""),win,XLOOKUP(C249,'Jogos_MataMata'!$A$2:$A$33,'Jogos_MataMata'!$Q$2:$Q$33,""),predWin,IF(G249&gt;H249,E249,IF(H249&gt;G249,F249,"")),IF(OR(hs="",as="",win=""),"",IF(predWin=win,IF(ABS(G249-H249)=ABS(hs-as),8,3),0))))</x:f>
      </x:c>
    </x:row>
    <x:row r="250">
      <x:c r="A250" s="21" t="str"/>
      <x:c r="B250" s="22" t="str"/>
      <x:c r="C250" s="22" t="str"/>
      <x:c r="D250" s="22" t="str">
        <x:f>IF(C250="","",XLOOKUP(C250,'Jogos_MataMata'!$A$2:$A$33,'Jogos_MataMata'!$B$2:$B$33,""))</x:f>
      </x:c>
      <x:c r="E250" s="22" t="str">
        <x:f>IF(C250="","",XLOOKUP(C250,'Jogos_MataMata'!$A$2:$A$33,'Jogos_MataMata'!$J$2:$J$33,""))</x:f>
      </x:c>
      <x:c r="F250" s="22" t="str">
        <x:f>IF(C250="","",XLOOKUP(C250,'Jogos_MataMata'!$A$2:$A$33,'Jogos_MataMata'!$K$2:$K$33,""))</x:f>
      </x:c>
      <x:c r="G250" s="22" t="str"/>
      <x:c r="H250" s="22" t="str"/>
      <x:c r="I250" s="22" t="str">
        <x:f>IF(AND(G250&lt;&gt;"",H250&lt;&gt;""),"SIM","NAO")</x:f>
        <x:v>NAO</x:v>
      </x:c>
      <x:c r="J250" s="23" t="str">
        <x:f>IF(OR(C250="",G250="",H250=""),"",LET(hs,XLOOKUP(C250,'Jogos_MataMata'!$A$2:$A$33,'Jogos_MataMata'!$O$2:$O$33,""),as,XLOOKUP(C250,'Jogos_MataMata'!$A$2:$A$33,'Jogos_MataMata'!$P$2:$P$33,""),win,XLOOKUP(C250,'Jogos_MataMata'!$A$2:$A$33,'Jogos_MataMata'!$Q$2:$Q$33,""),predWin,IF(G250&gt;H250,E250,IF(H250&gt;G250,F250,"")),IF(OR(hs="",as="",win=""),"",IF(predWin=win,IF(ABS(G250-H250)=ABS(hs-as),8,3),0))))</x:f>
      </x:c>
    </x:row>
    <x:row r="251">
      <x:c r="A251" s="21" t="str"/>
      <x:c r="B251" s="22" t="str"/>
      <x:c r="C251" s="22" t="str"/>
      <x:c r="D251" s="22" t="str">
        <x:f>IF(C251="","",XLOOKUP(C251,'Jogos_MataMata'!$A$2:$A$33,'Jogos_MataMata'!$B$2:$B$33,""))</x:f>
      </x:c>
      <x:c r="E251" s="22" t="str">
        <x:f>IF(C251="","",XLOOKUP(C251,'Jogos_MataMata'!$A$2:$A$33,'Jogos_MataMata'!$J$2:$J$33,""))</x:f>
      </x:c>
      <x:c r="F251" s="22" t="str">
        <x:f>IF(C251="","",XLOOKUP(C251,'Jogos_MataMata'!$A$2:$A$33,'Jogos_MataMata'!$K$2:$K$33,""))</x:f>
      </x:c>
      <x:c r="G251" s="22" t="str"/>
      <x:c r="H251" s="22" t="str"/>
      <x:c r="I251" s="22" t="str">
        <x:f>IF(AND(G251&lt;&gt;"",H251&lt;&gt;""),"SIM","NAO")</x:f>
        <x:v>NAO</x:v>
      </x:c>
      <x:c r="J251" s="23" t="str">
        <x:f>IF(OR(C251="",G251="",H251=""),"",LET(hs,XLOOKUP(C251,'Jogos_MataMata'!$A$2:$A$33,'Jogos_MataMata'!$O$2:$O$33,""),as,XLOOKUP(C251,'Jogos_MataMata'!$A$2:$A$33,'Jogos_MataMata'!$P$2:$P$33,""),win,XLOOKUP(C251,'Jogos_MataMata'!$A$2:$A$33,'Jogos_MataMata'!$Q$2:$Q$33,""),predWin,IF(G251&gt;H251,E251,IF(H251&gt;G251,F251,"")),IF(OR(hs="",as="",win=""),"",IF(predWin=win,IF(ABS(G251-H251)=ABS(hs-as),8,3),0))))</x:f>
      </x:c>
    </x:row>
    <x:row r="252">
      <x:c r="A252" s="21" t="str"/>
      <x:c r="B252" s="22" t="str"/>
      <x:c r="C252" s="22" t="str"/>
      <x:c r="D252" s="22" t="str">
        <x:f>IF(C252="","",XLOOKUP(C252,'Jogos_MataMata'!$A$2:$A$33,'Jogos_MataMata'!$B$2:$B$33,""))</x:f>
      </x:c>
      <x:c r="E252" s="22" t="str">
        <x:f>IF(C252="","",XLOOKUP(C252,'Jogos_MataMata'!$A$2:$A$33,'Jogos_MataMata'!$J$2:$J$33,""))</x:f>
      </x:c>
      <x:c r="F252" s="22" t="str">
        <x:f>IF(C252="","",XLOOKUP(C252,'Jogos_MataMata'!$A$2:$A$33,'Jogos_MataMata'!$K$2:$K$33,""))</x:f>
      </x:c>
      <x:c r="G252" s="22" t="str"/>
      <x:c r="H252" s="22" t="str"/>
      <x:c r="I252" s="22" t="str">
        <x:f>IF(AND(G252&lt;&gt;"",H252&lt;&gt;""),"SIM","NAO")</x:f>
        <x:v>NAO</x:v>
      </x:c>
      <x:c r="J252" s="23" t="str">
        <x:f>IF(OR(C252="",G252="",H252=""),"",LET(hs,XLOOKUP(C252,'Jogos_MataMata'!$A$2:$A$33,'Jogos_MataMata'!$O$2:$O$33,""),as,XLOOKUP(C252,'Jogos_MataMata'!$A$2:$A$33,'Jogos_MataMata'!$P$2:$P$33,""),win,XLOOKUP(C252,'Jogos_MataMata'!$A$2:$A$33,'Jogos_MataMata'!$Q$2:$Q$33,""),predWin,IF(G252&gt;H252,E252,IF(H252&gt;G252,F252,"")),IF(OR(hs="",as="",win=""),"",IF(predWin=win,IF(ABS(G252-H252)=ABS(hs-as),8,3),0))))</x:f>
      </x:c>
    </x:row>
    <x:row r="253">
      <x:c r="A253" s="21" t="str"/>
      <x:c r="B253" s="22" t="str"/>
      <x:c r="C253" s="22" t="str"/>
      <x:c r="D253" s="22" t="str">
        <x:f>IF(C253="","",XLOOKUP(C253,'Jogos_MataMata'!$A$2:$A$33,'Jogos_MataMata'!$B$2:$B$33,""))</x:f>
      </x:c>
      <x:c r="E253" s="22" t="str">
        <x:f>IF(C253="","",XLOOKUP(C253,'Jogos_MataMata'!$A$2:$A$33,'Jogos_MataMata'!$J$2:$J$33,""))</x:f>
      </x:c>
      <x:c r="F253" s="22" t="str">
        <x:f>IF(C253="","",XLOOKUP(C253,'Jogos_MataMata'!$A$2:$A$33,'Jogos_MataMata'!$K$2:$K$33,""))</x:f>
      </x:c>
      <x:c r="G253" s="22" t="str"/>
      <x:c r="H253" s="22" t="str"/>
      <x:c r="I253" s="22" t="str">
        <x:f>IF(AND(G253&lt;&gt;"",H253&lt;&gt;""),"SIM","NAO")</x:f>
        <x:v>NAO</x:v>
      </x:c>
      <x:c r="J253" s="23" t="str">
        <x:f>IF(OR(C253="",G253="",H253=""),"",LET(hs,XLOOKUP(C253,'Jogos_MataMata'!$A$2:$A$33,'Jogos_MataMata'!$O$2:$O$33,""),as,XLOOKUP(C253,'Jogos_MataMata'!$A$2:$A$33,'Jogos_MataMata'!$P$2:$P$33,""),win,XLOOKUP(C253,'Jogos_MataMata'!$A$2:$A$33,'Jogos_MataMata'!$Q$2:$Q$33,""),predWin,IF(G253&gt;H253,E253,IF(H253&gt;G253,F253,"")),IF(OR(hs="",as="",win=""),"",IF(predWin=win,IF(ABS(G253-H253)=ABS(hs-as),8,3),0))))</x:f>
      </x:c>
    </x:row>
    <x:row r="254">
      <x:c r="A254" s="21" t="str"/>
      <x:c r="B254" s="22" t="str"/>
      <x:c r="C254" s="22" t="str"/>
      <x:c r="D254" s="22" t="str">
        <x:f>IF(C254="","",XLOOKUP(C254,'Jogos_MataMata'!$A$2:$A$33,'Jogos_MataMata'!$B$2:$B$33,""))</x:f>
      </x:c>
      <x:c r="E254" s="22" t="str">
        <x:f>IF(C254="","",XLOOKUP(C254,'Jogos_MataMata'!$A$2:$A$33,'Jogos_MataMata'!$J$2:$J$33,""))</x:f>
      </x:c>
      <x:c r="F254" s="22" t="str">
        <x:f>IF(C254="","",XLOOKUP(C254,'Jogos_MataMata'!$A$2:$A$33,'Jogos_MataMata'!$K$2:$K$33,""))</x:f>
      </x:c>
      <x:c r="G254" s="22" t="str"/>
      <x:c r="H254" s="22" t="str"/>
      <x:c r="I254" s="22" t="str">
        <x:f>IF(AND(G254&lt;&gt;"",H254&lt;&gt;""),"SIM","NAO")</x:f>
        <x:v>NAO</x:v>
      </x:c>
      <x:c r="J254" s="23" t="str">
        <x:f>IF(OR(C254="",G254="",H254=""),"",LET(hs,XLOOKUP(C254,'Jogos_MataMata'!$A$2:$A$33,'Jogos_MataMata'!$O$2:$O$33,""),as,XLOOKUP(C254,'Jogos_MataMata'!$A$2:$A$33,'Jogos_MataMata'!$P$2:$P$33,""),win,XLOOKUP(C254,'Jogos_MataMata'!$A$2:$A$33,'Jogos_MataMata'!$Q$2:$Q$33,""),predWin,IF(G254&gt;H254,E254,IF(H254&gt;G254,F254,"")),IF(OR(hs="",as="",win=""),"",IF(predWin=win,IF(ABS(G254-H254)=ABS(hs-as),8,3),0))))</x:f>
      </x:c>
    </x:row>
    <x:row r="255">
      <x:c r="A255" s="21" t="str"/>
      <x:c r="B255" s="22" t="str"/>
      <x:c r="C255" s="22" t="str"/>
      <x:c r="D255" s="22" t="str">
        <x:f>IF(C255="","",XLOOKUP(C255,'Jogos_MataMata'!$A$2:$A$33,'Jogos_MataMata'!$B$2:$B$33,""))</x:f>
      </x:c>
      <x:c r="E255" s="22" t="str">
        <x:f>IF(C255="","",XLOOKUP(C255,'Jogos_MataMata'!$A$2:$A$33,'Jogos_MataMata'!$J$2:$J$33,""))</x:f>
      </x:c>
      <x:c r="F255" s="22" t="str">
        <x:f>IF(C255="","",XLOOKUP(C255,'Jogos_MataMata'!$A$2:$A$33,'Jogos_MataMata'!$K$2:$K$33,""))</x:f>
      </x:c>
      <x:c r="G255" s="22" t="str"/>
      <x:c r="H255" s="22" t="str"/>
      <x:c r="I255" s="22" t="str">
        <x:f>IF(AND(G255&lt;&gt;"",H255&lt;&gt;""),"SIM","NAO")</x:f>
        <x:v>NAO</x:v>
      </x:c>
      <x:c r="J255" s="23" t="str">
        <x:f>IF(OR(C255="",G255="",H255=""),"",LET(hs,XLOOKUP(C255,'Jogos_MataMata'!$A$2:$A$33,'Jogos_MataMata'!$O$2:$O$33,""),as,XLOOKUP(C255,'Jogos_MataMata'!$A$2:$A$33,'Jogos_MataMata'!$P$2:$P$33,""),win,XLOOKUP(C255,'Jogos_MataMata'!$A$2:$A$33,'Jogos_MataMata'!$Q$2:$Q$33,""),predWin,IF(G255&gt;H255,E255,IF(H255&gt;G255,F255,"")),IF(OR(hs="",as="",win=""),"",IF(predWin=win,IF(ABS(G255-H255)=ABS(hs-as),8,3),0))))</x:f>
      </x:c>
    </x:row>
    <x:row r="256">
      <x:c r="A256" s="21" t="str"/>
      <x:c r="B256" s="22" t="str"/>
      <x:c r="C256" s="22" t="str"/>
      <x:c r="D256" s="22" t="str">
        <x:f>IF(C256="","",XLOOKUP(C256,'Jogos_MataMata'!$A$2:$A$33,'Jogos_MataMata'!$B$2:$B$33,""))</x:f>
      </x:c>
      <x:c r="E256" s="22" t="str">
        <x:f>IF(C256="","",XLOOKUP(C256,'Jogos_MataMata'!$A$2:$A$33,'Jogos_MataMata'!$J$2:$J$33,""))</x:f>
      </x:c>
      <x:c r="F256" s="22" t="str">
        <x:f>IF(C256="","",XLOOKUP(C256,'Jogos_MataMata'!$A$2:$A$33,'Jogos_MataMata'!$K$2:$K$33,""))</x:f>
      </x:c>
      <x:c r="G256" s="22" t="str"/>
      <x:c r="H256" s="22" t="str"/>
      <x:c r="I256" s="22" t="str">
        <x:f>IF(AND(G256&lt;&gt;"",H256&lt;&gt;""),"SIM","NAO")</x:f>
        <x:v>NAO</x:v>
      </x:c>
      <x:c r="J256" s="23" t="str">
        <x:f>IF(OR(C256="",G256="",H256=""),"",LET(hs,XLOOKUP(C256,'Jogos_MataMata'!$A$2:$A$33,'Jogos_MataMata'!$O$2:$O$33,""),as,XLOOKUP(C256,'Jogos_MataMata'!$A$2:$A$33,'Jogos_MataMata'!$P$2:$P$33,""),win,XLOOKUP(C256,'Jogos_MataMata'!$A$2:$A$33,'Jogos_MataMata'!$Q$2:$Q$33,""),predWin,IF(G256&gt;H256,E256,IF(H256&gt;G256,F256,"")),IF(OR(hs="",as="",win=""),"",IF(predWin=win,IF(ABS(G256-H256)=ABS(hs-as),8,3),0))))</x:f>
      </x:c>
    </x:row>
    <x:row r="257">
      <x:c r="A257" s="21" t="str"/>
      <x:c r="B257" s="22" t="str"/>
      <x:c r="C257" s="22" t="str"/>
      <x:c r="D257" s="22" t="str">
        <x:f>IF(C257="","",XLOOKUP(C257,'Jogos_MataMata'!$A$2:$A$33,'Jogos_MataMata'!$B$2:$B$33,""))</x:f>
      </x:c>
      <x:c r="E257" s="22" t="str">
        <x:f>IF(C257="","",XLOOKUP(C257,'Jogos_MataMata'!$A$2:$A$33,'Jogos_MataMata'!$J$2:$J$33,""))</x:f>
      </x:c>
      <x:c r="F257" s="22" t="str">
        <x:f>IF(C257="","",XLOOKUP(C257,'Jogos_MataMata'!$A$2:$A$33,'Jogos_MataMata'!$K$2:$K$33,""))</x:f>
      </x:c>
      <x:c r="G257" s="22" t="str"/>
      <x:c r="H257" s="22" t="str"/>
      <x:c r="I257" s="22" t="str">
        <x:f>IF(AND(G257&lt;&gt;"",H257&lt;&gt;""),"SIM","NAO")</x:f>
        <x:v>NAO</x:v>
      </x:c>
      <x:c r="J257" s="23" t="str">
        <x:f>IF(OR(C257="",G257="",H257=""),"",LET(hs,XLOOKUP(C257,'Jogos_MataMata'!$A$2:$A$33,'Jogos_MataMata'!$O$2:$O$33,""),as,XLOOKUP(C257,'Jogos_MataMata'!$A$2:$A$33,'Jogos_MataMata'!$P$2:$P$33,""),win,XLOOKUP(C257,'Jogos_MataMata'!$A$2:$A$33,'Jogos_MataMata'!$Q$2:$Q$33,""),predWin,IF(G257&gt;H257,E257,IF(H257&gt;G257,F257,"")),IF(OR(hs="",as="",win=""),"",IF(predWin=win,IF(ABS(G257-H257)=ABS(hs-as),8,3),0))))</x:f>
      </x:c>
    </x:row>
    <x:row r="258">
      <x:c r="A258" s="21" t="str"/>
      <x:c r="B258" s="22" t="str"/>
      <x:c r="C258" s="22" t="str"/>
      <x:c r="D258" s="22" t="str">
        <x:f>IF(C258="","",XLOOKUP(C258,'Jogos_MataMata'!$A$2:$A$33,'Jogos_MataMata'!$B$2:$B$33,""))</x:f>
      </x:c>
      <x:c r="E258" s="22" t="str">
        <x:f>IF(C258="","",XLOOKUP(C258,'Jogos_MataMata'!$A$2:$A$33,'Jogos_MataMata'!$J$2:$J$33,""))</x:f>
      </x:c>
      <x:c r="F258" s="22" t="str">
        <x:f>IF(C258="","",XLOOKUP(C258,'Jogos_MataMata'!$A$2:$A$33,'Jogos_MataMata'!$K$2:$K$33,""))</x:f>
      </x:c>
      <x:c r="G258" s="22" t="str"/>
      <x:c r="H258" s="22" t="str"/>
      <x:c r="I258" s="22" t="str">
        <x:f>IF(AND(G258&lt;&gt;"",H258&lt;&gt;""),"SIM","NAO")</x:f>
        <x:v>NAO</x:v>
      </x:c>
      <x:c r="J258" s="23" t="str">
        <x:f>IF(OR(C258="",G258="",H258=""),"",LET(hs,XLOOKUP(C258,'Jogos_MataMata'!$A$2:$A$33,'Jogos_MataMata'!$O$2:$O$33,""),as,XLOOKUP(C258,'Jogos_MataMata'!$A$2:$A$33,'Jogos_MataMata'!$P$2:$P$33,""),win,XLOOKUP(C258,'Jogos_MataMata'!$A$2:$A$33,'Jogos_MataMata'!$Q$2:$Q$33,""),predWin,IF(G258&gt;H258,E258,IF(H258&gt;G258,F258,"")),IF(OR(hs="",as="",win=""),"",IF(predWin=win,IF(ABS(G258-H258)=ABS(hs-as),8,3),0))))</x:f>
      </x:c>
    </x:row>
    <x:row r="259">
      <x:c r="A259" s="21" t="str"/>
      <x:c r="B259" s="22" t="str"/>
      <x:c r="C259" s="22" t="str"/>
      <x:c r="D259" s="22" t="str">
        <x:f>IF(C259="","",XLOOKUP(C259,'Jogos_MataMata'!$A$2:$A$33,'Jogos_MataMata'!$B$2:$B$33,""))</x:f>
      </x:c>
      <x:c r="E259" s="22" t="str">
        <x:f>IF(C259="","",XLOOKUP(C259,'Jogos_MataMata'!$A$2:$A$33,'Jogos_MataMata'!$J$2:$J$33,""))</x:f>
      </x:c>
      <x:c r="F259" s="22" t="str">
        <x:f>IF(C259="","",XLOOKUP(C259,'Jogos_MataMata'!$A$2:$A$33,'Jogos_MataMata'!$K$2:$K$33,""))</x:f>
      </x:c>
      <x:c r="G259" s="22" t="str"/>
      <x:c r="H259" s="22" t="str"/>
      <x:c r="I259" s="22" t="str">
        <x:f>IF(AND(G259&lt;&gt;"",H259&lt;&gt;""),"SIM","NAO")</x:f>
        <x:v>NAO</x:v>
      </x:c>
      <x:c r="J259" s="23" t="str">
        <x:f>IF(OR(C259="",G259="",H259=""),"",LET(hs,XLOOKUP(C259,'Jogos_MataMata'!$A$2:$A$33,'Jogos_MataMata'!$O$2:$O$33,""),as,XLOOKUP(C259,'Jogos_MataMata'!$A$2:$A$33,'Jogos_MataMata'!$P$2:$P$33,""),win,XLOOKUP(C259,'Jogos_MataMata'!$A$2:$A$33,'Jogos_MataMata'!$Q$2:$Q$33,""),predWin,IF(G259&gt;H259,E259,IF(H259&gt;G259,F259,"")),IF(OR(hs="",as="",win=""),"",IF(predWin=win,IF(ABS(G259-H259)=ABS(hs-as),8,3),0))))</x:f>
      </x:c>
    </x:row>
    <x:row r="260">
      <x:c r="A260" s="21" t="str"/>
      <x:c r="B260" s="22" t="str"/>
      <x:c r="C260" s="22" t="str"/>
      <x:c r="D260" s="22" t="str">
        <x:f>IF(C260="","",XLOOKUP(C260,'Jogos_MataMata'!$A$2:$A$33,'Jogos_MataMata'!$B$2:$B$33,""))</x:f>
      </x:c>
      <x:c r="E260" s="22" t="str">
        <x:f>IF(C260="","",XLOOKUP(C260,'Jogos_MataMata'!$A$2:$A$33,'Jogos_MataMata'!$J$2:$J$33,""))</x:f>
      </x:c>
      <x:c r="F260" s="22" t="str">
        <x:f>IF(C260="","",XLOOKUP(C260,'Jogos_MataMata'!$A$2:$A$33,'Jogos_MataMata'!$K$2:$K$33,""))</x:f>
      </x:c>
      <x:c r="G260" s="22" t="str"/>
      <x:c r="H260" s="22" t="str"/>
      <x:c r="I260" s="22" t="str">
        <x:f>IF(AND(G260&lt;&gt;"",H260&lt;&gt;""),"SIM","NAO")</x:f>
        <x:v>NAO</x:v>
      </x:c>
      <x:c r="J260" s="23" t="str">
        <x:f>IF(OR(C260="",G260="",H260=""),"",LET(hs,XLOOKUP(C260,'Jogos_MataMata'!$A$2:$A$33,'Jogos_MataMata'!$O$2:$O$33,""),as,XLOOKUP(C260,'Jogos_MataMata'!$A$2:$A$33,'Jogos_MataMata'!$P$2:$P$33,""),win,XLOOKUP(C260,'Jogos_MataMata'!$A$2:$A$33,'Jogos_MataMata'!$Q$2:$Q$33,""),predWin,IF(G260&gt;H260,E260,IF(H260&gt;G260,F260,"")),IF(OR(hs="",as="",win=""),"",IF(predWin=win,IF(ABS(G260-H260)=ABS(hs-as),8,3),0))))</x:f>
      </x:c>
    </x:row>
    <x:row r="261">
      <x:c r="A261" s="21" t="str"/>
      <x:c r="B261" s="22" t="str"/>
      <x:c r="C261" s="22" t="str"/>
      <x:c r="D261" s="22" t="str">
        <x:f>IF(C261="","",XLOOKUP(C261,'Jogos_MataMata'!$A$2:$A$33,'Jogos_MataMata'!$B$2:$B$33,""))</x:f>
      </x:c>
      <x:c r="E261" s="22" t="str">
        <x:f>IF(C261="","",XLOOKUP(C261,'Jogos_MataMata'!$A$2:$A$33,'Jogos_MataMata'!$J$2:$J$33,""))</x:f>
      </x:c>
      <x:c r="F261" s="22" t="str">
        <x:f>IF(C261="","",XLOOKUP(C261,'Jogos_MataMata'!$A$2:$A$33,'Jogos_MataMata'!$K$2:$K$33,""))</x:f>
      </x:c>
      <x:c r="G261" s="22" t="str"/>
      <x:c r="H261" s="22" t="str"/>
      <x:c r="I261" s="22" t="str">
        <x:f>IF(AND(G261&lt;&gt;"",H261&lt;&gt;""),"SIM","NAO")</x:f>
        <x:v>NAO</x:v>
      </x:c>
      <x:c r="J261" s="23" t="str">
        <x:f>IF(OR(C261="",G261="",H261=""),"",LET(hs,XLOOKUP(C261,'Jogos_MataMata'!$A$2:$A$33,'Jogos_MataMata'!$O$2:$O$33,""),as,XLOOKUP(C261,'Jogos_MataMata'!$A$2:$A$33,'Jogos_MataMata'!$P$2:$P$33,""),win,XLOOKUP(C261,'Jogos_MataMata'!$A$2:$A$33,'Jogos_MataMata'!$Q$2:$Q$33,""),predWin,IF(G261&gt;H261,E261,IF(H261&gt;G261,F261,"")),IF(OR(hs="",as="",win=""),"",IF(predWin=win,IF(ABS(G261-H261)=ABS(hs-as),8,3),0))))</x:f>
      </x:c>
    </x:row>
    <x:row r="262">
      <x:c r="A262" s="21" t="str"/>
      <x:c r="B262" s="22" t="str"/>
      <x:c r="C262" s="22" t="str"/>
      <x:c r="D262" s="22" t="str">
        <x:f>IF(C262="","",XLOOKUP(C262,'Jogos_MataMata'!$A$2:$A$33,'Jogos_MataMata'!$B$2:$B$33,""))</x:f>
      </x:c>
      <x:c r="E262" s="22" t="str">
        <x:f>IF(C262="","",XLOOKUP(C262,'Jogos_MataMata'!$A$2:$A$33,'Jogos_MataMata'!$J$2:$J$33,""))</x:f>
      </x:c>
      <x:c r="F262" s="22" t="str">
        <x:f>IF(C262="","",XLOOKUP(C262,'Jogos_MataMata'!$A$2:$A$33,'Jogos_MataMata'!$K$2:$K$33,""))</x:f>
      </x:c>
      <x:c r="G262" s="22" t="str"/>
      <x:c r="H262" s="22" t="str"/>
      <x:c r="I262" s="22" t="str">
        <x:f>IF(AND(G262&lt;&gt;"",H262&lt;&gt;""),"SIM","NAO")</x:f>
        <x:v>NAO</x:v>
      </x:c>
      <x:c r="J262" s="23" t="str">
        <x:f>IF(OR(C262="",G262="",H262=""),"",LET(hs,XLOOKUP(C262,'Jogos_MataMata'!$A$2:$A$33,'Jogos_MataMata'!$O$2:$O$33,""),as,XLOOKUP(C262,'Jogos_MataMata'!$A$2:$A$33,'Jogos_MataMata'!$P$2:$P$33,""),win,XLOOKUP(C262,'Jogos_MataMata'!$A$2:$A$33,'Jogos_MataMata'!$Q$2:$Q$33,""),predWin,IF(G262&gt;H262,E262,IF(H262&gt;G262,F262,"")),IF(OR(hs="",as="",win=""),"",IF(predWin=win,IF(ABS(G262-H262)=ABS(hs-as),8,3),0))))</x:f>
      </x:c>
    </x:row>
    <x:row r="263">
      <x:c r="A263" s="21" t="str"/>
      <x:c r="B263" s="22" t="str"/>
      <x:c r="C263" s="22" t="str"/>
      <x:c r="D263" s="22" t="str">
        <x:f>IF(C263="","",XLOOKUP(C263,'Jogos_MataMata'!$A$2:$A$33,'Jogos_MataMata'!$B$2:$B$33,""))</x:f>
      </x:c>
      <x:c r="E263" s="22" t="str">
        <x:f>IF(C263="","",XLOOKUP(C263,'Jogos_MataMata'!$A$2:$A$33,'Jogos_MataMata'!$J$2:$J$33,""))</x:f>
      </x:c>
      <x:c r="F263" s="22" t="str">
        <x:f>IF(C263="","",XLOOKUP(C263,'Jogos_MataMata'!$A$2:$A$33,'Jogos_MataMata'!$K$2:$K$33,""))</x:f>
      </x:c>
      <x:c r="G263" s="22" t="str"/>
      <x:c r="H263" s="22" t="str"/>
      <x:c r="I263" s="22" t="str">
        <x:f>IF(AND(G263&lt;&gt;"",H263&lt;&gt;""),"SIM","NAO")</x:f>
        <x:v>NAO</x:v>
      </x:c>
      <x:c r="J263" s="23" t="str">
        <x:f>IF(OR(C263="",G263="",H263=""),"",LET(hs,XLOOKUP(C263,'Jogos_MataMata'!$A$2:$A$33,'Jogos_MataMata'!$O$2:$O$33,""),as,XLOOKUP(C263,'Jogos_MataMata'!$A$2:$A$33,'Jogos_MataMata'!$P$2:$P$33,""),win,XLOOKUP(C263,'Jogos_MataMata'!$A$2:$A$33,'Jogos_MataMata'!$Q$2:$Q$33,""),predWin,IF(G263&gt;H263,E263,IF(H263&gt;G263,F263,"")),IF(OR(hs="",as="",win=""),"",IF(predWin=win,IF(ABS(G263-H263)=ABS(hs-as),8,3),0))))</x:f>
      </x:c>
    </x:row>
    <x:row r="264">
      <x:c r="A264" s="21" t="str"/>
      <x:c r="B264" s="22" t="str"/>
      <x:c r="C264" s="22" t="str"/>
      <x:c r="D264" s="22" t="str">
        <x:f>IF(C264="","",XLOOKUP(C264,'Jogos_MataMata'!$A$2:$A$33,'Jogos_MataMata'!$B$2:$B$33,""))</x:f>
      </x:c>
      <x:c r="E264" s="22" t="str">
        <x:f>IF(C264="","",XLOOKUP(C264,'Jogos_MataMata'!$A$2:$A$33,'Jogos_MataMata'!$J$2:$J$33,""))</x:f>
      </x:c>
      <x:c r="F264" s="22" t="str">
        <x:f>IF(C264="","",XLOOKUP(C264,'Jogos_MataMata'!$A$2:$A$33,'Jogos_MataMata'!$K$2:$K$33,""))</x:f>
      </x:c>
      <x:c r="G264" s="22" t="str"/>
      <x:c r="H264" s="22" t="str"/>
      <x:c r="I264" s="22" t="str">
        <x:f>IF(AND(G264&lt;&gt;"",H264&lt;&gt;""),"SIM","NAO")</x:f>
        <x:v>NAO</x:v>
      </x:c>
      <x:c r="J264" s="23" t="str">
        <x:f>IF(OR(C264="",G264="",H264=""),"",LET(hs,XLOOKUP(C264,'Jogos_MataMata'!$A$2:$A$33,'Jogos_MataMata'!$O$2:$O$33,""),as,XLOOKUP(C264,'Jogos_MataMata'!$A$2:$A$33,'Jogos_MataMata'!$P$2:$P$33,""),win,XLOOKUP(C264,'Jogos_MataMata'!$A$2:$A$33,'Jogos_MataMata'!$Q$2:$Q$33,""),predWin,IF(G264&gt;H264,E264,IF(H264&gt;G264,F264,"")),IF(OR(hs="",as="",win=""),"",IF(predWin=win,IF(ABS(G264-H264)=ABS(hs-as),8,3),0))))</x:f>
      </x:c>
    </x:row>
    <x:row r="265">
      <x:c r="A265" s="21" t="str"/>
      <x:c r="B265" s="22" t="str"/>
      <x:c r="C265" s="22" t="str"/>
      <x:c r="D265" s="22" t="str">
        <x:f>IF(C265="","",XLOOKUP(C265,'Jogos_MataMata'!$A$2:$A$33,'Jogos_MataMata'!$B$2:$B$33,""))</x:f>
      </x:c>
      <x:c r="E265" s="22" t="str">
        <x:f>IF(C265="","",XLOOKUP(C265,'Jogos_MataMata'!$A$2:$A$33,'Jogos_MataMata'!$J$2:$J$33,""))</x:f>
      </x:c>
      <x:c r="F265" s="22" t="str">
        <x:f>IF(C265="","",XLOOKUP(C265,'Jogos_MataMata'!$A$2:$A$33,'Jogos_MataMata'!$K$2:$K$33,""))</x:f>
      </x:c>
      <x:c r="G265" s="22" t="str"/>
      <x:c r="H265" s="22" t="str"/>
      <x:c r="I265" s="22" t="str">
        <x:f>IF(AND(G265&lt;&gt;"",H265&lt;&gt;""),"SIM","NAO")</x:f>
        <x:v>NAO</x:v>
      </x:c>
      <x:c r="J265" s="23" t="str">
        <x:f>IF(OR(C265="",G265="",H265=""),"",LET(hs,XLOOKUP(C265,'Jogos_MataMata'!$A$2:$A$33,'Jogos_MataMata'!$O$2:$O$33,""),as,XLOOKUP(C265,'Jogos_MataMata'!$A$2:$A$33,'Jogos_MataMata'!$P$2:$P$33,""),win,XLOOKUP(C265,'Jogos_MataMata'!$A$2:$A$33,'Jogos_MataMata'!$Q$2:$Q$33,""),predWin,IF(G265&gt;H265,E265,IF(H265&gt;G265,F265,"")),IF(OR(hs="",as="",win=""),"",IF(predWin=win,IF(ABS(G265-H265)=ABS(hs-as),8,3),0))))</x:f>
      </x:c>
    </x:row>
    <x:row r="266">
      <x:c r="A266" s="21" t="str"/>
      <x:c r="B266" s="22" t="str"/>
      <x:c r="C266" s="22" t="str"/>
      <x:c r="D266" s="22" t="str">
        <x:f>IF(C266="","",XLOOKUP(C266,'Jogos_MataMata'!$A$2:$A$33,'Jogos_MataMata'!$B$2:$B$33,""))</x:f>
      </x:c>
      <x:c r="E266" s="22" t="str">
        <x:f>IF(C266="","",XLOOKUP(C266,'Jogos_MataMata'!$A$2:$A$33,'Jogos_MataMata'!$J$2:$J$33,""))</x:f>
      </x:c>
      <x:c r="F266" s="22" t="str">
        <x:f>IF(C266="","",XLOOKUP(C266,'Jogos_MataMata'!$A$2:$A$33,'Jogos_MataMata'!$K$2:$K$33,""))</x:f>
      </x:c>
      <x:c r="G266" s="22" t="str"/>
      <x:c r="H266" s="22" t="str"/>
      <x:c r="I266" s="22" t="str">
        <x:f>IF(AND(G266&lt;&gt;"",H266&lt;&gt;""),"SIM","NAO")</x:f>
        <x:v>NAO</x:v>
      </x:c>
      <x:c r="J266" s="23" t="str">
        <x:f>IF(OR(C266="",G266="",H266=""),"",LET(hs,XLOOKUP(C266,'Jogos_MataMata'!$A$2:$A$33,'Jogos_MataMata'!$O$2:$O$33,""),as,XLOOKUP(C266,'Jogos_MataMata'!$A$2:$A$33,'Jogos_MataMata'!$P$2:$P$33,""),win,XLOOKUP(C266,'Jogos_MataMata'!$A$2:$A$33,'Jogos_MataMata'!$Q$2:$Q$33,""),predWin,IF(G266&gt;H266,E266,IF(H266&gt;G266,F266,"")),IF(OR(hs="",as="",win=""),"",IF(predWin=win,IF(ABS(G266-H266)=ABS(hs-as),8,3),0))))</x:f>
      </x:c>
    </x:row>
    <x:row r="267">
      <x:c r="A267" s="21" t="str"/>
      <x:c r="B267" s="22" t="str"/>
      <x:c r="C267" s="22" t="str"/>
      <x:c r="D267" s="22" t="str">
        <x:f>IF(C267="","",XLOOKUP(C267,'Jogos_MataMata'!$A$2:$A$33,'Jogos_MataMata'!$B$2:$B$33,""))</x:f>
      </x:c>
      <x:c r="E267" s="22" t="str">
        <x:f>IF(C267="","",XLOOKUP(C267,'Jogos_MataMata'!$A$2:$A$33,'Jogos_MataMata'!$J$2:$J$33,""))</x:f>
      </x:c>
      <x:c r="F267" s="22" t="str">
        <x:f>IF(C267="","",XLOOKUP(C267,'Jogos_MataMata'!$A$2:$A$33,'Jogos_MataMata'!$K$2:$K$33,""))</x:f>
      </x:c>
      <x:c r="G267" s="22" t="str"/>
      <x:c r="H267" s="22" t="str"/>
      <x:c r="I267" s="22" t="str">
        <x:f>IF(AND(G267&lt;&gt;"",H267&lt;&gt;""),"SIM","NAO")</x:f>
        <x:v>NAO</x:v>
      </x:c>
      <x:c r="J267" s="23" t="str">
        <x:f>IF(OR(C267="",G267="",H267=""),"",LET(hs,XLOOKUP(C267,'Jogos_MataMata'!$A$2:$A$33,'Jogos_MataMata'!$O$2:$O$33,""),as,XLOOKUP(C267,'Jogos_MataMata'!$A$2:$A$33,'Jogos_MataMata'!$P$2:$P$33,""),win,XLOOKUP(C267,'Jogos_MataMata'!$A$2:$A$33,'Jogos_MataMata'!$Q$2:$Q$33,""),predWin,IF(G267&gt;H267,E267,IF(H267&gt;G267,F267,"")),IF(OR(hs="",as="",win=""),"",IF(predWin=win,IF(ABS(G267-H267)=ABS(hs-as),8,3),0))))</x:f>
      </x:c>
    </x:row>
    <x:row r="268">
      <x:c r="A268" s="21" t="str"/>
      <x:c r="B268" s="22" t="str"/>
      <x:c r="C268" s="22" t="str"/>
      <x:c r="D268" s="22" t="str">
        <x:f>IF(C268="","",XLOOKUP(C268,'Jogos_MataMata'!$A$2:$A$33,'Jogos_MataMata'!$B$2:$B$33,""))</x:f>
      </x:c>
      <x:c r="E268" s="22" t="str">
        <x:f>IF(C268="","",XLOOKUP(C268,'Jogos_MataMata'!$A$2:$A$33,'Jogos_MataMata'!$J$2:$J$33,""))</x:f>
      </x:c>
      <x:c r="F268" s="22" t="str">
        <x:f>IF(C268="","",XLOOKUP(C268,'Jogos_MataMata'!$A$2:$A$33,'Jogos_MataMata'!$K$2:$K$33,""))</x:f>
      </x:c>
      <x:c r="G268" s="22" t="str"/>
      <x:c r="H268" s="22" t="str"/>
      <x:c r="I268" s="22" t="str">
        <x:f>IF(AND(G268&lt;&gt;"",H268&lt;&gt;""),"SIM","NAO")</x:f>
        <x:v>NAO</x:v>
      </x:c>
      <x:c r="J268" s="23" t="str">
        <x:f>IF(OR(C268="",G268="",H268=""),"",LET(hs,XLOOKUP(C268,'Jogos_MataMata'!$A$2:$A$33,'Jogos_MataMata'!$O$2:$O$33,""),as,XLOOKUP(C268,'Jogos_MataMata'!$A$2:$A$33,'Jogos_MataMata'!$P$2:$P$33,""),win,XLOOKUP(C268,'Jogos_MataMata'!$A$2:$A$33,'Jogos_MataMata'!$Q$2:$Q$33,""),predWin,IF(G268&gt;H268,E268,IF(H268&gt;G268,F268,"")),IF(OR(hs="",as="",win=""),"",IF(predWin=win,IF(ABS(G268-H268)=ABS(hs-as),8,3),0))))</x:f>
      </x:c>
    </x:row>
    <x:row r="269">
      <x:c r="A269" s="21" t="str"/>
      <x:c r="B269" s="22" t="str"/>
      <x:c r="C269" s="22" t="str"/>
      <x:c r="D269" s="22" t="str">
        <x:f>IF(C269="","",XLOOKUP(C269,'Jogos_MataMata'!$A$2:$A$33,'Jogos_MataMata'!$B$2:$B$33,""))</x:f>
      </x:c>
      <x:c r="E269" s="22" t="str">
        <x:f>IF(C269="","",XLOOKUP(C269,'Jogos_MataMata'!$A$2:$A$33,'Jogos_MataMata'!$J$2:$J$33,""))</x:f>
      </x:c>
      <x:c r="F269" s="22" t="str">
        <x:f>IF(C269="","",XLOOKUP(C269,'Jogos_MataMata'!$A$2:$A$33,'Jogos_MataMata'!$K$2:$K$33,""))</x:f>
      </x:c>
      <x:c r="G269" s="22" t="str"/>
      <x:c r="H269" s="22" t="str"/>
      <x:c r="I269" s="22" t="str">
        <x:f>IF(AND(G269&lt;&gt;"",H269&lt;&gt;""),"SIM","NAO")</x:f>
        <x:v>NAO</x:v>
      </x:c>
      <x:c r="J269" s="23" t="str">
        <x:f>IF(OR(C269="",G269="",H269=""),"",LET(hs,XLOOKUP(C269,'Jogos_MataMata'!$A$2:$A$33,'Jogos_MataMata'!$O$2:$O$33,""),as,XLOOKUP(C269,'Jogos_MataMata'!$A$2:$A$33,'Jogos_MataMata'!$P$2:$P$33,""),win,XLOOKUP(C269,'Jogos_MataMata'!$A$2:$A$33,'Jogos_MataMata'!$Q$2:$Q$33,""),predWin,IF(G269&gt;H269,E269,IF(H269&gt;G269,F269,"")),IF(OR(hs="",as="",win=""),"",IF(predWin=win,IF(ABS(G269-H269)=ABS(hs-as),8,3),0))))</x:f>
      </x:c>
    </x:row>
    <x:row r="270">
      <x:c r="A270" s="21" t="str"/>
      <x:c r="B270" s="22" t="str"/>
      <x:c r="C270" s="22" t="str"/>
      <x:c r="D270" s="22" t="str">
        <x:f>IF(C270="","",XLOOKUP(C270,'Jogos_MataMata'!$A$2:$A$33,'Jogos_MataMata'!$B$2:$B$33,""))</x:f>
      </x:c>
      <x:c r="E270" s="22" t="str">
        <x:f>IF(C270="","",XLOOKUP(C270,'Jogos_MataMata'!$A$2:$A$33,'Jogos_MataMata'!$J$2:$J$33,""))</x:f>
      </x:c>
      <x:c r="F270" s="22" t="str">
        <x:f>IF(C270="","",XLOOKUP(C270,'Jogos_MataMata'!$A$2:$A$33,'Jogos_MataMata'!$K$2:$K$33,""))</x:f>
      </x:c>
      <x:c r="G270" s="22" t="str"/>
      <x:c r="H270" s="22" t="str"/>
      <x:c r="I270" s="22" t="str">
        <x:f>IF(AND(G270&lt;&gt;"",H270&lt;&gt;""),"SIM","NAO")</x:f>
        <x:v>NAO</x:v>
      </x:c>
      <x:c r="J270" s="23" t="str">
        <x:f>IF(OR(C270="",G270="",H270=""),"",LET(hs,XLOOKUP(C270,'Jogos_MataMata'!$A$2:$A$33,'Jogos_MataMata'!$O$2:$O$33,""),as,XLOOKUP(C270,'Jogos_MataMata'!$A$2:$A$33,'Jogos_MataMata'!$P$2:$P$33,""),win,XLOOKUP(C270,'Jogos_MataMata'!$A$2:$A$33,'Jogos_MataMata'!$Q$2:$Q$33,""),predWin,IF(G270&gt;H270,E270,IF(H270&gt;G270,F270,"")),IF(OR(hs="",as="",win=""),"",IF(predWin=win,IF(ABS(G270-H270)=ABS(hs-as),8,3),0))))</x:f>
      </x:c>
    </x:row>
    <x:row r="271">
      <x:c r="A271" s="21" t="str"/>
      <x:c r="B271" s="22" t="str"/>
      <x:c r="C271" s="22" t="str"/>
      <x:c r="D271" s="22" t="str">
        <x:f>IF(C271="","",XLOOKUP(C271,'Jogos_MataMata'!$A$2:$A$33,'Jogos_MataMata'!$B$2:$B$33,""))</x:f>
      </x:c>
      <x:c r="E271" s="22" t="str">
        <x:f>IF(C271="","",XLOOKUP(C271,'Jogos_MataMata'!$A$2:$A$33,'Jogos_MataMata'!$J$2:$J$33,""))</x:f>
      </x:c>
      <x:c r="F271" s="22" t="str">
        <x:f>IF(C271="","",XLOOKUP(C271,'Jogos_MataMata'!$A$2:$A$33,'Jogos_MataMata'!$K$2:$K$33,""))</x:f>
      </x:c>
      <x:c r="G271" s="22" t="str"/>
      <x:c r="H271" s="22" t="str"/>
      <x:c r="I271" s="22" t="str">
        <x:f>IF(AND(G271&lt;&gt;"",H271&lt;&gt;""),"SIM","NAO")</x:f>
        <x:v>NAO</x:v>
      </x:c>
      <x:c r="J271" s="23" t="str">
        <x:f>IF(OR(C271="",G271="",H271=""),"",LET(hs,XLOOKUP(C271,'Jogos_MataMata'!$A$2:$A$33,'Jogos_MataMata'!$O$2:$O$33,""),as,XLOOKUP(C271,'Jogos_MataMata'!$A$2:$A$33,'Jogos_MataMata'!$P$2:$P$33,""),win,XLOOKUP(C271,'Jogos_MataMata'!$A$2:$A$33,'Jogos_MataMata'!$Q$2:$Q$33,""),predWin,IF(G271&gt;H271,E271,IF(H271&gt;G271,F271,"")),IF(OR(hs="",as="",win=""),"",IF(predWin=win,IF(ABS(G271-H271)=ABS(hs-as),8,3),0))))</x:f>
      </x:c>
    </x:row>
    <x:row r="272">
      <x:c r="A272" s="21" t="str"/>
      <x:c r="B272" s="22" t="str"/>
      <x:c r="C272" s="22" t="str"/>
      <x:c r="D272" s="22" t="str">
        <x:f>IF(C272="","",XLOOKUP(C272,'Jogos_MataMata'!$A$2:$A$33,'Jogos_MataMata'!$B$2:$B$33,""))</x:f>
      </x:c>
      <x:c r="E272" s="22" t="str">
        <x:f>IF(C272="","",XLOOKUP(C272,'Jogos_MataMata'!$A$2:$A$33,'Jogos_MataMata'!$J$2:$J$33,""))</x:f>
      </x:c>
      <x:c r="F272" s="22" t="str">
        <x:f>IF(C272="","",XLOOKUP(C272,'Jogos_MataMata'!$A$2:$A$33,'Jogos_MataMata'!$K$2:$K$33,""))</x:f>
      </x:c>
      <x:c r="G272" s="22" t="str"/>
      <x:c r="H272" s="22" t="str"/>
      <x:c r="I272" s="22" t="str">
        <x:f>IF(AND(G272&lt;&gt;"",H272&lt;&gt;""),"SIM","NAO")</x:f>
        <x:v>NAO</x:v>
      </x:c>
      <x:c r="J272" s="23" t="str">
        <x:f>IF(OR(C272="",G272="",H272=""),"",LET(hs,XLOOKUP(C272,'Jogos_MataMata'!$A$2:$A$33,'Jogos_MataMata'!$O$2:$O$33,""),as,XLOOKUP(C272,'Jogos_MataMata'!$A$2:$A$33,'Jogos_MataMata'!$P$2:$P$33,""),win,XLOOKUP(C272,'Jogos_MataMata'!$A$2:$A$33,'Jogos_MataMata'!$Q$2:$Q$33,""),predWin,IF(G272&gt;H272,E272,IF(H272&gt;G272,F272,"")),IF(OR(hs="",as="",win=""),"",IF(predWin=win,IF(ABS(G272-H272)=ABS(hs-as),8,3),0))))</x:f>
      </x:c>
    </x:row>
    <x:row r="273">
      <x:c r="A273" s="21" t="str"/>
      <x:c r="B273" s="22" t="str"/>
      <x:c r="C273" s="22" t="str"/>
      <x:c r="D273" s="22" t="str">
        <x:f>IF(C273="","",XLOOKUP(C273,'Jogos_MataMata'!$A$2:$A$33,'Jogos_MataMata'!$B$2:$B$33,""))</x:f>
      </x:c>
      <x:c r="E273" s="22" t="str">
        <x:f>IF(C273="","",XLOOKUP(C273,'Jogos_MataMata'!$A$2:$A$33,'Jogos_MataMata'!$J$2:$J$33,""))</x:f>
      </x:c>
      <x:c r="F273" s="22" t="str">
        <x:f>IF(C273="","",XLOOKUP(C273,'Jogos_MataMata'!$A$2:$A$33,'Jogos_MataMata'!$K$2:$K$33,""))</x:f>
      </x:c>
      <x:c r="G273" s="22" t="str"/>
      <x:c r="H273" s="22" t="str"/>
      <x:c r="I273" s="22" t="str">
        <x:f>IF(AND(G273&lt;&gt;"",H273&lt;&gt;""),"SIM","NAO")</x:f>
        <x:v>NAO</x:v>
      </x:c>
      <x:c r="J273" s="23" t="str">
        <x:f>IF(OR(C273="",G273="",H273=""),"",LET(hs,XLOOKUP(C273,'Jogos_MataMata'!$A$2:$A$33,'Jogos_MataMata'!$O$2:$O$33,""),as,XLOOKUP(C273,'Jogos_MataMata'!$A$2:$A$33,'Jogos_MataMata'!$P$2:$P$33,""),win,XLOOKUP(C273,'Jogos_MataMata'!$A$2:$A$33,'Jogos_MataMata'!$Q$2:$Q$33,""),predWin,IF(G273&gt;H273,E273,IF(H273&gt;G273,F273,"")),IF(OR(hs="",as="",win=""),"",IF(predWin=win,IF(ABS(G273-H273)=ABS(hs-as),8,3),0))))</x:f>
      </x:c>
    </x:row>
    <x:row r="274">
      <x:c r="A274" s="21" t="str"/>
      <x:c r="B274" s="22" t="str"/>
      <x:c r="C274" s="22" t="str"/>
      <x:c r="D274" s="22" t="str">
        <x:f>IF(C274="","",XLOOKUP(C274,'Jogos_MataMata'!$A$2:$A$33,'Jogos_MataMata'!$B$2:$B$33,""))</x:f>
      </x:c>
      <x:c r="E274" s="22" t="str">
        <x:f>IF(C274="","",XLOOKUP(C274,'Jogos_MataMata'!$A$2:$A$33,'Jogos_MataMata'!$J$2:$J$33,""))</x:f>
      </x:c>
      <x:c r="F274" s="22" t="str">
        <x:f>IF(C274="","",XLOOKUP(C274,'Jogos_MataMata'!$A$2:$A$33,'Jogos_MataMata'!$K$2:$K$33,""))</x:f>
      </x:c>
      <x:c r="G274" s="22" t="str"/>
      <x:c r="H274" s="22" t="str"/>
      <x:c r="I274" s="22" t="str">
        <x:f>IF(AND(G274&lt;&gt;"",H274&lt;&gt;""),"SIM","NAO")</x:f>
        <x:v>NAO</x:v>
      </x:c>
      <x:c r="J274" s="23" t="str">
        <x:f>IF(OR(C274="",G274="",H274=""),"",LET(hs,XLOOKUP(C274,'Jogos_MataMata'!$A$2:$A$33,'Jogos_MataMata'!$O$2:$O$33,""),as,XLOOKUP(C274,'Jogos_MataMata'!$A$2:$A$33,'Jogos_MataMata'!$P$2:$P$33,""),win,XLOOKUP(C274,'Jogos_MataMata'!$A$2:$A$33,'Jogos_MataMata'!$Q$2:$Q$33,""),predWin,IF(G274&gt;H274,E274,IF(H274&gt;G274,F274,"")),IF(OR(hs="",as="",win=""),"",IF(predWin=win,IF(ABS(G274-H274)=ABS(hs-as),8,3),0))))</x:f>
      </x:c>
    </x:row>
    <x:row r="275">
      <x:c r="A275" s="21" t="str"/>
      <x:c r="B275" s="22" t="str"/>
      <x:c r="C275" s="22" t="str"/>
      <x:c r="D275" s="22" t="str">
        <x:f>IF(C275="","",XLOOKUP(C275,'Jogos_MataMata'!$A$2:$A$33,'Jogos_MataMata'!$B$2:$B$33,""))</x:f>
      </x:c>
      <x:c r="E275" s="22" t="str">
        <x:f>IF(C275="","",XLOOKUP(C275,'Jogos_MataMata'!$A$2:$A$33,'Jogos_MataMata'!$J$2:$J$33,""))</x:f>
      </x:c>
      <x:c r="F275" s="22" t="str">
        <x:f>IF(C275="","",XLOOKUP(C275,'Jogos_MataMata'!$A$2:$A$33,'Jogos_MataMata'!$K$2:$K$33,""))</x:f>
      </x:c>
      <x:c r="G275" s="22" t="str"/>
      <x:c r="H275" s="22" t="str"/>
      <x:c r="I275" s="22" t="str">
        <x:f>IF(AND(G275&lt;&gt;"",H275&lt;&gt;""),"SIM","NAO")</x:f>
        <x:v>NAO</x:v>
      </x:c>
      <x:c r="J275" s="23" t="str">
        <x:f>IF(OR(C275="",G275="",H275=""),"",LET(hs,XLOOKUP(C275,'Jogos_MataMata'!$A$2:$A$33,'Jogos_MataMata'!$O$2:$O$33,""),as,XLOOKUP(C275,'Jogos_MataMata'!$A$2:$A$33,'Jogos_MataMata'!$P$2:$P$33,""),win,XLOOKUP(C275,'Jogos_MataMata'!$A$2:$A$33,'Jogos_MataMata'!$Q$2:$Q$33,""),predWin,IF(G275&gt;H275,E275,IF(H275&gt;G275,F275,"")),IF(OR(hs="",as="",win=""),"",IF(predWin=win,IF(ABS(G275-H275)=ABS(hs-as),8,3),0))))</x:f>
      </x:c>
    </x:row>
    <x:row r="276">
      <x:c r="A276" s="21" t="str"/>
      <x:c r="B276" s="22" t="str"/>
      <x:c r="C276" s="22" t="str"/>
      <x:c r="D276" s="22" t="str">
        <x:f>IF(C276="","",XLOOKUP(C276,'Jogos_MataMata'!$A$2:$A$33,'Jogos_MataMata'!$B$2:$B$33,""))</x:f>
      </x:c>
      <x:c r="E276" s="22" t="str">
        <x:f>IF(C276="","",XLOOKUP(C276,'Jogos_MataMata'!$A$2:$A$33,'Jogos_MataMata'!$J$2:$J$33,""))</x:f>
      </x:c>
      <x:c r="F276" s="22" t="str">
        <x:f>IF(C276="","",XLOOKUP(C276,'Jogos_MataMata'!$A$2:$A$33,'Jogos_MataMata'!$K$2:$K$33,""))</x:f>
      </x:c>
      <x:c r="G276" s="22" t="str"/>
      <x:c r="H276" s="22" t="str"/>
      <x:c r="I276" s="22" t="str">
        <x:f>IF(AND(G276&lt;&gt;"",H276&lt;&gt;""),"SIM","NAO")</x:f>
        <x:v>NAO</x:v>
      </x:c>
      <x:c r="J276" s="23" t="str">
        <x:f>IF(OR(C276="",G276="",H276=""),"",LET(hs,XLOOKUP(C276,'Jogos_MataMata'!$A$2:$A$33,'Jogos_MataMata'!$O$2:$O$33,""),as,XLOOKUP(C276,'Jogos_MataMata'!$A$2:$A$33,'Jogos_MataMata'!$P$2:$P$33,""),win,XLOOKUP(C276,'Jogos_MataMata'!$A$2:$A$33,'Jogos_MataMata'!$Q$2:$Q$33,""),predWin,IF(G276&gt;H276,E276,IF(H276&gt;G276,F276,"")),IF(OR(hs="",as="",win=""),"",IF(predWin=win,IF(ABS(G276-H276)=ABS(hs-as),8,3),0))))</x:f>
      </x:c>
    </x:row>
    <x:row r="277">
      <x:c r="A277" s="21" t="str"/>
      <x:c r="B277" s="22" t="str"/>
      <x:c r="C277" s="22" t="str"/>
      <x:c r="D277" s="22" t="str">
        <x:f>IF(C277="","",XLOOKUP(C277,'Jogos_MataMata'!$A$2:$A$33,'Jogos_MataMata'!$B$2:$B$33,""))</x:f>
      </x:c>
      <x:c r="E277" s="22" t="str">
        <x:f>IF(C277="","",XLOOKUP(C277,'Jogos_MataMata'!$A$2:$A$33,'Jogos_MataMata'!$J$2:$J$33,""))</x:f>
      </x:c>
      <x:c r="F277" s="22" t="str">
        <x:f>IF(C277="","",XLOOKUP(C277,'Jogos_MataMata'!$A$2:$A$33,'Jogos_MataMata'!$K$2:$K$33,""))</x:f>
      </x:c>
      <x:c r="G277" s="22" t="str"/>
      <x:c r="H277" s="22" t="str"/>
      <x:c r="I277" s="22" t="str">
        <x:f>IF(AND(G277&lt;&gt;"",H277&lt;&gt;""),"SIM","NAO")</x:f>
        <x:v>NAO</x:v>
      </x:c>
      <x:c r="J277" s="23" t="str">
        <x:f>IF(OR(C277="",G277="",H277=""),"",LET(hs,XLOOKUP(C277,'Jogos_MataMata'!$A$2:$A$33,'Jogos_MataMata'!$O$2:$O$33,""),as,XLOOKUP(C277,'Jogos_MataMata'!$A$2:$A$33,'Jogos_MataMata'!$P$2:$P$33,""),win,XLOOKUP(C277,'Jogos_MataMata'!$A$2:$A$33,'Jogos_MataMata'!$Q$2:$Q$33,""),predWin,IF(G277&gt;H277,E277,IF(H277&gt;G277,F277,"")),IF(OR(hs="",as="",win=""),"",IF(predWin=win,IF(ABS(G277-H277)=ABS(hs-as),8,3),0))))</x:f>
      </x:c>
    </x:row>
    <x:row r="278">
      <x:c r="A278" s="21" t="str"/>
      <x:c r="B278" s="22" t="str"/>
      <x:c r="C278" s="22" t="str"/>
      <x:c r="D278" s="22" t="str">
        <x:f>IF(C278="","",XLOOKUP(C278,'Jogos_MataMata'!$A$2:$A$33,'Jogos_MataMata'!$B$2:$B$33,""))</x:f>
      </x:c>
      <x:c r="E278" s="22" t="str">
        <x:f>IF(C278="","",XLOOKUP(C278,'Jogos_MataMata'!$A$2:$A$33,'Jogos_MataMata'!$J$2:$J$33,""))</x:f>
      </x:c>
      <x:c r="F278" s="22" t="str">
        <x:f>IF(C278="","",XLOOKUP(C278,'Jogos_MataMata'!$A$2:$A$33,'Jogos_MataMata'!$K$2:$K$33,""))</x:f>
      </x:c>
      <x:c r="G278" s="22" t="str"/>
      <x:c r="H278" s="22" t="str"/>
      <x:c r="I278" s="22" t="str">
        <x:f>IF(AND(G278&lt;&gt;"",H278&lt;&gt;""),"SIM","NAO")</x:f>
        <x:v>NAO</x:v>
      </x:c>
      <x:c r="J278" s="23" t="str">
        <x:f>IF(OR(C278="",G278="",H278=""),"",LET(hs,XLOOKUP(C278,'Jogos_MataMata'!$A$2:$A$33,'Jogos_MataMata'!$O$2:$O$33,""),as,XLOOKUP(C278,'Jogos_MataMata'!$A$2:$A$33,'Jogos_MataMata'!$P$2:$P$33,""),win,XLOOKUP(C278,'Jogos_MataMata'!$A$2:$A$33,'Jogos_MataMata'!$Q$2:$Q$33,""),predWin,IF(G278&gt;H278,E278,IF(H278&gt;G278,F278,"")),IF(OR(hs="",as="",win=""),"",IF(predWin=win,IF(ABS(G278-H278)=ABS(hs-as),8,3),0))))</x:f>
      </x:c>
    </x:row>
    <x:row r="279">
      <x:c r="A279" s="21" t="str"/>
      <x:c r="B279" s="22" t="str"/>
      <x:c r="C279" s="22" t="str"/>
      <x:c r="D279" s="22" t="str">
        <x:f>IF(C279="","",XLOOKUP(C279,'Jogos_MataMata'!$A$2:$A$33,'Jogos_MataMata'!$B$2:$B$33,""))</x:f>
      </x:c>
      <x:c r="E279" s="22" t="str">
        <x:f>IF(C279="","",XLOOKUP(C279,'Jogos_MataMata'!$A$2:$A$33,'Jogos_MataMata'!$J$2:$J$33,""))</x:f>
      </x:c>
      <x:c r="F279" s="22" t="str">
        <x:f>IF(C279="","",XLOOKUP(C279,'Jogos_MataMata'!$A$2:$A$33,'Jogos_MataMata'!$K$2:$K$33,""))</x:f>
      </x:c>
      <x:c r="G279" s="22" t="str"/>
      <x:c r="H279" s="22" t="str"/>
      <x:c r="I279" s="22" t="str">
        <x:f>IF(AND(G279&lt;&gt;"",H279&lt;&gt;""),"SIM","NAO")</x:f>
        <x:v>NAO</x:v>
      </x:c>
      <x:c r="J279" s="23" t="str">
        <x:f>IF(OR(C279="",G279="",H279=""),"",LET(hs,XLOOKUP(C279,'Jogos_MataMata'!$A$2:$A$33,'Jogos_MataMata'!$O$2:$O$33,""),as,XLOOKUP(C279,'Jogos_MataMata'!$A$2:$A$33,'Jogos_MataMata'!$P$2:$P$33,""),win,XLOOKUP(C279,'Jogos_MataMata'!$A$2:$A$33,'Jogos_MataMata'!$Q$2:$Q$33,""),predWin,IF(G279&gt;H279,E279,IF(H279&gt;G279,F279,"")),IF(OR(hs="",as="",win=""),"",IF(predWin=win,IF(ABS(G279-H279)=ABS(hs-as),8,3),0))))</x:f>
      </x:c>
    </x:row>
    <x:row r="280">
      <x:c r="A280" s="21" t="str"/>
      <x:c r="B280" s="22" t="str"/>
      <x:c r="C280" s="22" t="str"/>
      <x:c r="D280" s="22" t="str">
        <x:f>IF(C280="","",XLOOKUP(C280,'Jogos_MataMata'!$A$2:$A$33,'Jogos_MataMata'!$B$2:$B$33,""))</x:f>
      </x:c>
      <x:c r="E280" s="22" t="str">
        <x:f>IF(C280="","",XLOOKUP(C280,'Jogos_MataMata'!$A$2:$A$33,'Jogos_MataMata'!$J$2:$J$33,""))</x:f>
      </x:c>
      <x:c r="F280" s="22" t="str">
        <x:f>IF(C280="","",XLOOKUP(C280,'Jogos_MataMata'!$A$2:$A$33,'Jogos_MataMata'!$K$2:$K$33,""))</x:f>
      </x:c>
      <x:c r="G280" s="22" t="str"/>
      <x:c r="H280" s="22" t="str"/>
      <x:c r="I280" s="22" t="str">
        <x:f>IF(AND(G280&lt;&gt;"",H280&lt;&gt;""),"SIM","NAO")</x:f>
        <x:v>NAO</x:v>
      </x:c>
      <x:c r="J280" s="23" t="str">
        <x:f>IF(OR(C280="",G280="",H280=""),"",LET(hs,XLOOKUP(C280,'Jogos_MataMata'!$A$2:$A$33,'Jogos_MataMata'!$O$2:$O$33,""),as,XLOOKUP(C280,'Jogos_MataMata'!$A$2:$A$33,'Jogos_MataMata'!$P$2:$P$33,""),win,XLOOKUP(C280,'Jogos_MataMata'!$A$2:$A$33,'Jogos_MataMata'!$Q$2:$Q$33,""),predWin,IF(G280&gt;H280,E280,IF(H280&gt;G280,F280,"")),IF(OR(hs="",as="",win=""),"",IF(predWin=win,IF(ABS(G280-H280)=ABS(hs-as),8,3),0))))</x:f>
      </x:c>
    </x:row>
    <x:row r="281">
      <x:c r="A281" s="21" t="str"/>
      <x:c r="B281" s="22" t="str"/>
      <x:c r="C281" s="22" t="str"/>
      <x:c r="D281" s="22" t="str">
        <x:f>IF(C281="","",XLOOKUP(C281,'Jogos_MataMata'!$A$2:$A$33,'Jogos_MataMata'!$B$2:$B$33,""))</x:f>
      </x:c>
      <x:c r="E281" s="22" t="str">
        <x:f>IF(C281="","",XLOOKUP(C281,'Jogos_MataMata'!$A$2:$A$33,'Jogos_MataMata'!$J$2:$J$33,""))</x:f>
      </x:c>
      <x:c r="F281" s="22" t="str">
        <x:f>IF(C281="","",XLOOKUP(C281,'Jogos_MataMata'!$A$2:$A$33,'Jogos_MataMata'!$K$2:$K$33,""))</x:f>
      </x:c>
      <x:c r="G281" s="22" t="str"/>
      <x:c r="H281" s="22" t="str"/>
      <x:c r="I281" s="22" t="str">
        <x:f>IF(AND(G281&lt;&gt;"",H281&lt;&gt;""),"SIM","NAO")</x:f>
        <x:v>NAO</x:v>
      </x:c>
      <x:c r="J281" s="23" t="str">
        <x:f>IF(OR(C281="",G281="",H281=""),"",LET(hs,XLOOKUP(C281,'Jogos_MataMata'!$A$2:$A$33,'Jogos_MataMata'!$O$2:$O$33,""),as,XLOOKUP(C281,'Jogos_MataMata'!$A$2:$A$33,'Jogos_MataMata'!$P$2:$P$33,""),win,XLOOKUP(C281,'Jogos_MataMata'!$A$2:$A$33,'Jogos_MataMata'!$Q$2:$Q$33,""),predWin,IF(G281&gt;H281,E281,IF(H281&gt;G281,F281,"")),IF(OR(hs="",as="",win=""),"",IF(predWin=win,IF(ABS(G281-H281)=ABS(hs-as),8,3),0))))</x:f>
      </x:c>
    </x:row>
    <x:row r="282">
      <x:c r="A282" s="21" t="str"/>
      <x:c r="B282" s="22" t="str"/>
      <x:c r="C282" s="22" t="str"/>
      <x:c r="D282" s="22" t="str">
        <x:f>IF(C282="","",XLOOKUP(C282,'Jogos_MataMata'!$A$2:$A$33,'Jogos_MataMata'!$B$2:$B$33,""))</x:f>
      </x:c>
      <x:c r="E282" s="22" t="str">
        <x:f>IF(C282="","",XLOOKUP(C282,'Jogos_MataMata'!$A$2:$A$33,'Jogos_MataMata'!$J$2:$J$33,""))</x:f>
      </x:c>
      <x:c r="F282" s="22" t="str">
        <x:f>IF(C282="","",XLOOKUP(C282,'Jogos_MataMata'!$A$2:$A$33,'Jogos_MataMata'!$K$2:$K$33,""))</x:f>
      </x:c>
      <x:c r="G282" s="22" t="str"/>
      <x:c r="H282" s="22" t="str"/>
      <x:c r="I282" s="22" t="str">
        <x:f>IF(AND(G282&lt;&gt;"",H282&lt;&gt;""),"SIM","NAO")</x:f>
        <x:v>NAO</x:v>
      </x:c>
      <x:c r="J282" s="23" t="str">
        <x:f>IF(OR(C282="",G282="",H282=""),"",LET(hs,XLOOKUP(C282,'Jogos_MataMata'!$A$2:$A$33,'Jogos_MataMata'!$O$2:$O$33,""),as,XLOOKUP(C282,'Jogos_MataMata'!$A$2:$A$33,'Jogos_MataMata'!$P$2:$P$33,""),win,XLOOKUP(C282,'Jogos_MataMata'!$A$2:$A$33,'Jogos_MataMata'!$Q$2:$Q$33,""),predWin,IF(G282&gt;H282,E282,IF(H282&gt;G282,F282,"")),IF(OR(hs="",as="",win=""),"",IF(predWin=win,IF(ABS(G282-H282)=ABS(hs-as),8,3),0))))</x:f>
      </x:c>
    </x:row>
    <x:row r="283">
      <x:c r="A283" s="21" t="str"/>
      <x:c r="B283" s="22" t="str"/>
      <x:c r="C283" s="22" t="str"/>
      <x:c r="D283" s="22" t="str">
        <x:f>IF(C283="","",XLOOKUP(C283,'Jogos_MataMata'!$A$2:$A$33,'Jogos_MataMata'!$B$2:$B$33,""))</x:f>
      </x:c>
      <x:c r="E283" s="22" t="str">
        <x:f>IF(C283="","",XLOOKUP(C283,'Jogos_MataMata'!$A$2:$A$33,'Jogos_MataMata'!$J$2:$J$33,""))</x:f>
      </x:c>
      <x:c r="F283" s="22" t="str">
        <x:f>IF(C283="","",XLOOKUP(C283,'Jogos_MataMata'!$A$2:$A$33,'Jogos_MataMata'!$K$2:$K$33,""))</x:f>
      </x:c>
      <x:c r="G283" s="22" t="str"/>
      <x:c r="H283" s="22" t="str"/>
      <x:c r="I283" s="22" t="str">
        <x:f>IF(AND(G283&lt;&gt;"",H283&lt;&gt;""),"SIM","NAO")</x:f>
        <x:v>NAO</x:v>
      </x:c>
      <x:c r="J283" s="23" t="str">
        <x:f>IF(OR(C283="",G283="",H283=""),"",LET(hs,XLOOKUP(C283,'Jogos_MataMata'!$A$2:$A$33,'Jogos_MataMata'!$O$2:$O$33,""),as,XLOOKUP(C283,'Jogos_MataMata'!$A$2:$A$33,'Jogos_MataMata'!$P$2:$P$33,""),win,XLOOKUP(C283,'Jogos_MataMata'!$A$2:$A$33,'Jogos_MataMata'!$Q$2:$Q$33,""),predWin,IF(G283&gt;H283,E283,IF(H283&gt;G283,F283,"")),IF(OR(hs="",as="",win=""),"",IF(predWin=win,IF(ABS(G283-H283)=ABS(hs-as),8,3),0))))</x:f>
      </x:c>
    </x:row>
    <x:row r="284">
      <x:c r="A284" s="21" t="str"/>
      <x:c r="B284" s="22" t="str"/>
      <x:c r="C284" s="22" t="str"/>
      <x:c r="D284" s="22" t="str">
        <x:f>IF(C284="","",XLOOKUP(C284,'Jogos_MataMata'!$A$2:$A$33,'Jogos_MataMata'!$B$2:$B$33,""))</x:f>
      </x:c>
      <x:c r="E284" s="22" t="str">
        <x:f>IF(C284="","",XLOOKUP(C284,'Jogos_MataMata'!$A$2:$A$33,'Jogos_MataMata'!$J$2:$J$33,""))</x:f>
      </x:c>
      <x:c r="F284" s="22" t="str">
        <x:f>IF(C284="","",XLOOKUP(C284,'Jogos_MataMata'!$A$2:$A$33,'Jogos_MataMata'!$K$2:$K$33,""))</x:f>
      </x:c>
      <x:c r="G284" s="22" t="str"/>
      <x:c r="H284" s="22" t="str"/>
      <x:c r="I284" s="22" t="str">
        <x:f>IF(AND(G284&lt;&gt;"",H284&lt;&gt;""),"SIM","NAO")</x:f>
        <x:v>NAO</x:v>
      </x:c>
      <x:c r="J284" s="23" t="str">
        <x:f>IF(OR(C284="",G284="",H284=""),"",LET(hs,XLOOKUP(C284,'Jogos_MataMata'!$A$2:$A$33,'Jogos_MataMata'!$O$2:$O$33,""),as,XLOOKUP(C284,'Jogos_MataMata'!$A$2:$A$33,'Jogos_MataMata'!$P$2:$P$33,""),win,XLOOKUP(C284,'Jogos_MataMata'!$A$2:$A$33,'Jogos_MataMata'!$Q$2:$Q$33,""),predWin,IF(G284&gt;H284,E284,IF(H284&gt;G284,F284,"")),IF(OR(hs="",as="",win=""),"",IF(predWin=win,IF(ABS(G284-H284)=ABS(hs-as),8,3),0))))</x:f>
      </x:c>
    </x:row>
    <x:row r="285">
      <x:c r="A285" s="21" t="str"/>
      <x:c r="B285" s="22" t="str"/>
      <x:c r="C285" s="22" t="str"/>
      <x:c r="D285" s="22" t="str">
        <x:f>IF(C285="","",XLOOKUP(C285,'Jogos_MataMata'!$A$2:$A$33,'Jogos_MataMata'!$B$2:$B$33,""))</x:f>
      </x:c>
      <x:c r="E285" s="22" t="str">
        <x:f>IF(C285="","",XLOOKUP(C285,'Jogos_MataMata'!$A$2:$A$33,'Jogos_MataMata'!$J$2:$J$33,""))</x:f>
      </x:c>
      <x:c r="F285" s="22" t="str">
        <x:f>IF(C285="","",XLOOKUP(C285,'Jogos_MataMata'!$A$2:$A$33,'Jogos_MataMata'!$K$2:$K$33,""))</x:f>
      </x:c>
      <x:c r="G285" s="22" t="str"/>
      <x:c r="H285" s="22" t="str"/>
      <x:c r="I285" s="22" t="str">
        <x:f>IF(AND(G285&lt;&gt;"",H285&lt;&gt;""),"SIM","NAO")</x:f>
        <x:v>NAO</x:v>
      </x:c>
      <x:c r="J285" s="23" t="str">
        <x:f>IF(OR(C285="",G285="",H285=""),"",LET(hs,XLOOKUP(C285,'Jogos_MataMata'!$A$2:$A$33,'Jogos_MataMata'!$O$2:$O$33,""),as,XLOOKUP(C285,'Jogos_MataMata'!$A$2:$A$33,'Jogos_MataMata'!$P$2:$P$33,""),win,XLOOKUP(C285,'Jogos_MataMata'!$A$2:$A$33,'Jogos_MataMata'!$Q$2:$Q$33,""),predWin,IF(G285&gt;H285,E285,IF(H285&gt;G285,F285,"")),IF(OR(hs="",as="",win=""),"",IF(predWin=win,IF(ABS(G285-H285)=ABS(hs-as),8,3),0))))</x:f>
      </x:c>
    </x:row>
    <x:row r="286">
      <x:c r="A286" s="21" t="str"/>
      <x:c r="B286" s="22" t="str"/>
      <x:c r="C286" s="22" t="str"/>
      <x:c r="D286" s="22" t="str">
        <x:f>IF(C286="","",XLOOKUP(C286,'Jogos_MataMata'!$A$2:$A$33,'Jogos_MataMata'!$B$2:$B$33,""))</x:f>
      </x:c>
      <x:c r="E286" s="22" t="str">
        <x:f>IF(C286="","",XLOOKUP(C286,'Jogos_MataMata'!$A$2:$A$33,'Jogos_MataMata'!$J$2:$J$33,""))</x:f>
      </x:c>
      <x:c r="F286" s="22" t="str">
        <x:f>IF(C286="","",XLOOKUP(C286,'Jogos_MataMata'!$A$2:$A$33,'Jogos_MataMata'!$K$2:$K$33,""))</x:f>
      </x:c>
      <x:c r="G286" s="22" t="str"/>
      <x:c r="H286" s="22" t="str"/>
      <x:c r="I286" s="22" t="str">
        <x:f>IF(AND(G286&lt;&gt;"",H286&lt;&gt;""),"SIM","NAO")</x:f>
        <x:v>NAO</x:v>
      </x:c>
      <x:c r="J286" s="23" t="str">
        <x:f>IF(OR(C286="",G286="",H286=""),"",LET(hs,XLOOKUP(C286,'Jogos_MataMata'!$A$2:$A$33,'Jogos_MataMata'!$O$2:$O$33,""),as,XLOOKUP(C286,'Jogos_MataMata'!$A$2:$A$33,'Jogos_MataMata'!$P$2:$P$33,""),win,XLOOKUP(C286,'Jogos_MataMata'!$A$2:$A$33,'Jogos_MataMata'!$Q$2:$Q$33,""),predWin,IF(G286&gt;H286,E286,IF(H286&gt;G286,F286,"")),IF(OR(hs="",as="",win=""),"",IF(predWin=win,IF(ABS(G286-H286)=ABS(hs-as),8,3),0))))</x:f>
      </x:c>
    </x:row>
    <x:row r="287">
      <x:c r="A287" s="21" t="str"/>
      <x:c r="B287" s="22" t="str"/>
      <x:c r="C287" s="22" t="str"/>
      <x:c r="D287" s="22" t="str">
        <x:f>IF(C287="","",XLOOKUP(C287,'Jogos_MataMata'!$A$2:$A$33,'Jogos_MataMata'!$B$2:$B$33,""))</x:f>
      </x:c>
      <x:c r="E287" s="22" t="str">
        <x:f>IF(C287="","",XLOOKUP(C287,'Jogos_MataMata'!$A$2:$A$33,'Jogos_MataMata'!$J$2:$J$33,""))</x:f>
      </x:c>
      <x:c r="F287" s="22" t="str">
        <x:f>IF(C287="","",XLOOKUP(C287,'Jogos_MataMata'!$A$2:$A$33,'Jogos_MataMata'!$K$2:$K$33,""))</x:f>
      </x:c>
      <x:c r="G287" s="22" t="str"/>
      <x:c r="H287" s="22" t="str"/>
      <x:c r="I287" s="22" t="str">
        <x:f>IF(AND(G287&lt;&gt;"",H287&lt;&gt;""),"SIM","NAO")</x:f>
        <x:v>NAO</x:v>
      </x:c>
      <x:c r="J287" s="23" t="str">
        <x:f>IF(OR(C287="",G287="",H287=""),"",LET(hs,XLOOKUP(C287,'Jogos_MataMata'!$A$2:$A$33,'Jogos_MataMata'!$O$2:$O$33,""),as,XLOOKUP(C287,'Jogos_MataMata'!$A$2:$A$33,'Jogos_MataMata'!$P$2:$P$33,""),win,XLOOKUP(C287,'Jogos_MataMata'!$A$2:$A$33,'Jogos_MataMata'!$Q$2:$Q$33,""),predWin,IF(G287&gt;H287,E287,IF(H287&gt;G287,F287,"")),IF(OR(hs="",as="",win=""),"",IF(predWin=win,IF(ABS(G287-H287)=ABS(hs-as),8,3),0))))</x:f>
      </x:c>
    </x:row>
    <x:row r="288">
      <x:c r="A288" s="21" t="str"/>
      <x:c r="B288" s="22" t="str"/>
      <x:c r="C288" s="22" t="str"/>
      <x:c r="D288" s="22" t="str">
        <x:f>IF(C288="","",XLOOKUP(C288,'Jogos_MataMata'!$A$2:$A$33,'Jogos_MataMata'!$B$2:$B$33,""))</x:f>
      </x:c>
      <x:c r="E288" s="22" t="str">
        <x:f>IF(C288="","",XLOOKUP(C288,'Jogos_MataMata'!$A$2:$A$33,'Jogos_MataMata'!$J$2:$J$33,""))</x:f>
      </x:c>
      <x:c r="F288" s="22" t="str">
        <x:f>IF(C288="","",XLOOKUP(C288,'Jogos_MataMata'!$A$2:$A$33,'Jogos_MataMata'!$K$2:$K$33,""))</x:f>
      </x:c>
      <x:c r="G288" s="22" t="str"/>
      <x:c r="H288" s="22" t="str"/>
      <x:c r="I288" s="22" t="str">
        <x:f>IF(AND(G288&lt;&gt;"",H288&lt;&gt;""),"SIM","NAO")</x:f>
        <x:v>NAO</x:v>
      </x:c>
      <x:c r="J288" s="23" t="str">
        <x:f>IF(OR(C288="",G288="",H288=""),"",LET(hs,XLOOKUP(C288,'Jogos_MataMata'!$A$2:$A$33,'Jogos_MataMata'!$O$2:$O$33,""),as,XLOOKUP(C288,'Jogos_MataMata'!$A$2:$A$33,'Jogos_MataMata'!$P$2:$P$33,""),win,XLOOKUP(C288,'Jogos_MataMata'!$A$2:$A$33,'Jogos_MataMata'!$Q$2:$Q$33,""),predWin,IF(G288&gt;H288,E288,IF(H288&gt;G288,F288,"")),IF(OR(hs="",as="",win=""),"",IF(predWin=win,IF(ABS(G288-H288)=ABS(hs-as),8,3),0))))</x:f>
      </x:c>
    </x:row>
    <x:row r="289">
      <x:c r="A289" s="21" t="str"/>
      <x:c r="B289" s="22" t="str"/>
      <x:c r="C289" s="22" t="str"/>
      <x:c r="D289" s="22" t="str">
        <x:f>IF(C289="","",XLOOKUP(C289,'Jogos_MataMata'!$A$2:$A$33,'Jogos_MataMata'!$B$2:$B$33,""))</x:f>
      </x:c>
      <x:c r="E289" s="22" t="str">
        <x:f>IF(C289="","",XLOOKUP(C289,'Jogos_MataMata'!$A$2:$A$33,'Jogos_MataMata'!$J$2:$J$33,""))</x:f>
      </x:c>
      <x:c r="F289" s="22" t="str">
        <x:f>IF(C289="","",XLOOKUP(C289,'Jogos_MataMata'!$A$2:$A$33,'Jogos_MataMata'!$K$2:$K$33,""))</x:f>
      </x:c>
      <x:c r="G289" s="22" t="str"/>
      <x:c r="H289" s="22" t="str"/>
      <x:c r="I289" s="22" t="str">
        <x:f>IF(AND(G289&lt;&gt;"",H289&lt;&gt;""),"SIM","NAO")</x:f>
        <x:v>NAO</x:v>
      </x:c>
      <x:c r="J289" s="23" t="str">
        <x:f>IF(OR(C289="",G289="",H289=""),"",LET(hs,XLOOKUP(C289,'Jogos_MataMata'!$A$2:$A$33,'Jogos_MataMata'!$O$2:$O$33,""),as,XLOOKUP(C289,'Jogos_MataMata'!$A$2:$A$33,'Jogos_MataMata'!$P$2:$P$33,""),win,XLOOKUP(C289,'Jogos_MataMata'!$A$2:$A$33,'Jogos_MataMata'!$Q$2:$Q$33,""),predWin,IF(G289&gt;H289,E289,IF(H289&gt;G289,F289,"")),IF(OR(hs="",as="",win=""),"",IF(predWin=win,IF(ABS(G289-H289)=ABS(hs-as),8,3),0))))</x:f>
      </x:c>
    </x:row>
    <x:row r="290">
      <x:c r="A290" s="21" t="str"/>
      <x:c r="B290" s="22" t="str"/>
      <x:c r="C290" s="22" t="str"/>
      <x:c r="D290" s="22" t="str">
        <x:f>IF(C290="","",XLOOKUP(C290,'Jogos_MataMata'!$A$2:$A$33,'Jogos_MataMata'!$B$2:$B$33,""))</x:f>
      </x:c>
      <x:c r="E290" s="22" t="str">
        <x:f>IF(C290="","",XLOOKUP(C290,'Jogos_MataMata'!$A$2:$A$33,'Jogos_MataMata'!$J$2:$J$33,""))</x:f>
      </x:c>
      <x:c r="F290" s="22" t="str">
        <x:f>IF(C290="","",XLOOKUP(C290,'Jogos_MataMata'!$A$2:$A$33,'Jogos_MataMata'!$K$2:$K$33,""))</x:f>
      </x:c>
      <x:c r="G290" s="22" t="str"/>
      <x:c r="H290" s="22" t="str"/>
      <x:c r="I290" s="22" t="str">
        <x:f>IF(AND(G290&lt;&gt;"",H290&lt;&gt;""),"SIM","NAO")</x:f>
        <x:v>NAO</x:v>
      </x:c>
      <x:c r="J290" s="23" t="str">
        <x:f>IF(OR(C290="",G290="",H290=""),"",LET(hs,XLOOKUP(C290,'Jogos_MataMata'!$A$2:$A$33,'Jogos_MataMata'!$O$2:$O$33,""),as,XLOOKUP(C290,'Jogos_MataMata'!$A$2:$A$33,'Jogos_MataMata'!$P$2:$P$33,""),win,XLOOKUP(C290,'Jogos_MataMata'!$A$2:$A$33,'Jogos_MataMata'!$Q$2:$Q$33,""),predWin,IF(G290&gt;H290,E290,IF(H290&gt;G290,F290,"")),IF(OR(hs="",as="",win=""),"",IF(predWin=win,IF(ABS(G290-H290)=ABS(hs-as),8,3),0))))</x:f>
      </x:c>
    </x:row>
    <x:row r="291">
      <x:c r="A291" s="21" t="str"/>
      <x:c r="B291" s="22" t="str"/>
      <x:c r="C291" s="22" t="str"/>
      <x:c r="D291" s="22" t="str">
        <x:f>IF(C291="","",XLOOKUP(C291,'Jogos_MataMata'!$A$2:$A$33,'Jogos_MataMata'!$B$2:$B$33,""))</x:f>
      </x:c>
      <x:c r="E291" s="22" t="str">
        <x:f>IF(C291="","",XLOOKUP(C291,'Jogos_MataMata'!$A$2:$A$33,'Jogos_MataMata'!$J$2:$J$33,""))</x:f>
      </x:c>
      <x:c r="F291" s="22" t="str">
        <x:f>IF(C291="","",XLOOKUP(C291,'Jogos_MataMata'!$A$2:$A$33,'Jogos_MataMata'!$K$2:$K$33,""))</x:f>
      </x:c>
      <x:c r="G291" s="22" t="str"/>
      <x:c r="H291" s="22" t="str"/>
      <x:c r="I291" s="22" t="str">
        <x:f>IF(AND(G291&lt;&gt;"",H291&lt;&gt;""),"SIM","NAO")</x:f>
        <x:v>NAO</x:v>
      </x:c>
      <x:c r="J291" s="23" t="str">
        <x:f>IF(OR(C291="",G291="",H291=""),"",LET(hs,XLOOKUP(C291,'Jogos_MataMata'!$A$2:$A$33,'Jogos_MataMata'!$O$2:$O$33,""),as,XLOOKUP(C291,'Jogos_MataMata'!$A$2:$A$33,'Jogos_MataMata'!$P$2:$P$33,""),win,XLOOKUP(C291,'Jogos_MataMata'!$A$2:$A$33,'Jogos_MataMata'!$Q$2:$Q$33,""),predWin,IF(G291&gt;H291,E291,IF(H291&gt;G291,F291,"")),IF(OR(hs="",as="",win=""),"",IF(predWin=win,IF(ABS(G291-H291)=ABS(hs-as),8,3),0))))</x:f>
      </x:c>
    </x:row>
    <x:row r="292">
      <x:c r="A292" s="21" t="str"/>
      <x:c r="B292" s="22" t="str"/>
      <x:c r="C292" s="22" t="str"/>
      <x:c r="D292" s="22" t="str">
        <x:f>IF(C292="","",XLOOKUP(C292,'Jogos_MataMata'!$A$2:$A$33,'Jogos_MataMata'!$B$2:$B$33,""))</x:f>
      </x:c>
      <x:c r="E292" s="22" t="str">
        <x:f>IF(C292="","",XLOOKUP(C292,'Jogos_MataMata'!$A$2:$A$33,'Jogos_MataMata'!$J$2:$J$33,""))</x:f>
      </x:c>
      <x:c r="F292" s="22" t="str">
        <x:f>IF(C292="","",XLOOKUP(C292,'Jogos_MataMata'!$A$2:$A$33,'Jogos_MataMata'!$K$2:$K$33,""))</x:f>
      </x:c>
      <x:c r="G292" s="22" t="str"/>
      <x:c r="H292" s="22" t="str"/>
      <x:c r="I292" s="22" t="str">
        <x:f>IF(AND(G292&lt;&gt;"",H292&lt;&gt;""),"SIM","NAO")</x:f>
        <x:v>NAO</x:v>
      </x:c>
      <x:c r="J292" s="23" t="str">
        <x:f>IF(OR(C292="",G292="",H292=""),"",LET(hs,XLOOKUP(C292,'Jogos_MataMata'!$A$2:$A$33,'Jogos_MataMata'!$O$2:$O$33,""),as,XLOOKUP(C292,'Jogos_MataMata'!$A$2:$A$33,'Jogos_MataMata'!$P$2:$P$33,""),win,XLOOKUP(C292,'Jogos_MataMata'!$A$2:$A$33,'Jogos_MataMata'!$Q$2:$Q$33,""),predWin,IF(G292&gt;H292,E292,IF(H292&gt;G292,F292,"")),IF(OR(hs="",as="",win=""),"",IF(predWin=win,IF(ABS(G292-H292)=ABS(hs-as),8,3),0))))</x:f>
      </x:c>
    </x:row>
    <x:row r="293">
      <x:c r="A293" s="21" t="str"/>
      <x:c r="B293" s="22" t="str"/>
      <x:c r="C293" s="22" t="str"/>
      <x:c r="D293" s="22" t="str">
        <x:f>IF(C293="","",XLOOKUP(C293,'Jogos_MataMata'!$A$2:$A$33,'Jogos_MataMata'!$B$2:$B$33,""))</x:f>
      </x:c>
      <x:c r="E293" s="22" t="str">
        <x:f>IF(C293="","",XLOOKUP(C293,'Jogos_MataMata'!$A$2:$A$33,'Jogos_MataMata'!$J$2:$J$33,""))</x:f>
      </x:c>
      <x:c r="F293" s="22" t="str">
        <x:f>IF(C293="","",XLOOKUP(C293,'Jogos_MataMata'!$A$2:$A$33,'Jogos_MataMata'!$K$2:$K$33,""))</x:f>
      </x:c>
      <x:c r="G293" s="22" t="str"/>
      <x:c r="H293" s="22" t="str"/>
      <x:c r="I293" s="22" t="str">
        <x:f>IF(AND(G293&lt;&gt;"",H293&lt;&gt;""),"SIM","NAO")</x:f>
        <x:v>NAO</x:v>
      </x:c>
      <x:c r="J293" s="23" t="str">
        <x:f>IF(OR(C293="",G293="",H293=""),"",LET(hs,XLOOKUP(C293,'Jogos_MataMata'!$A$2:$A$33,'Jogos_MataMata'!$O$2:$O$33,""),as,XLOOKUP(C293,'Jogos_MataMata'!$A$2:$A$33,'Jogos_MataMata'!$P$2:$P$33,""),win,XLOOKUP(C293,'Jogos_MataMata'!$A$2:$A$33,'Jogos_MataMata'!$Q$2:$Q$33,""),predWin,IF(G293&gt;H293,E293,IF(H293&gt;G293,F293,"")),IF(OR(hs="",as="",win=""),"",IF(predWin=win,IF(ABS(G293-H293)=ABS(hs-as),8,3),0))))</x:f>
      </x:c>
    </x:row>
    <x:row r="294">
      <x:c r="A294" s="21" t="str"/>
      <x:c r="B294" s="22" t="str"/>
      <x:c r="C294" s="22" t="str"/>
      <x:c r="D294" s="22" t="str">
        <x:f>IF(C294="","",XLOOKUP(C294,'Jogos_MataMata'!$A$2:$A$33,'Jogos_MataMata'!$B$2:$B$33,""))</x:f>
      </x:c>
      <x:c r="E294" s="22" t="str">
        <x:f>IF(C294="","",XLOOKUP(C294,'Jogos_MataMata'!$A$2:$A$33,'Jogos_MataMata'!$J$2:$J$33,""))</x:f>
      </x:c>
      <x:c r="F294" s="22" t="str">
        <x:f>IF(C294="","",XLOOKUP(C294,'Jogos_MataMata'!$A$2:$A$33,'Jogos_MataMata'!$K$2:$K$33,""))</x:f>
      </x:c>
      <x:c r="G294" s="22" t="str"/>
      <x:c r="H294" s="22" t="str"/>
      <x:c r="I294" s="22" t="str">
        <x:f>IF(AND(G294&lt;&gt;"",H294&lt;&gt;""),"SIM","NAO")</x:f>
        <x:v>NAO</x:v>
      </x:c>
      <x:c r="J294" s="23" t="str">
        <x:f>IF(OR(C294="",G294="",H294=""),"",LET(hs,XLOOKUP(C294,'Jogos_MataMata'!$A$2:$A$33,'Jogos_MataMata'!$O$2:$O$33,""),as,XLOOKUP(C294,'Jogos_MataMata'!$A$2:$A$33,'Jogos_MataMata'!$P$2:$P$33,""),win,XLOOKUP(C294,'Jogos_MataMata'!$A$2:$A$33,'Jogos_MataMata'!$Q$2:$Q$33,""),predWin,IF(G294&gt;H294,E294,IF(H294&gt;G294,F294,"")),IF(OR(hs="",as="",win=""),"",IF(predWin=win,IF(ABS(G294-H294)=ABS(hs-as),8,3),0))))</x:f>
      </x:c>
    </x:row>
    <x:row r="295">
      <x:c r="A295" s="21" t="str"/>
      <x:c r="B295" s="22" t="str"/>
      <x:c r="C295" s="22" t="str"/>
      <x:c r="D295" s="22" t="str">
        <x:f>IF(C295="","",XLOOKUP(C295,'Jogos_MataMata'!$A$2:$A$33,'Jogos_MataMata'!$B$2:$B$33,""))</x:f>
      </x:c>
      <x:c r="E295" s="22" t="str">
        <x:f>IF(C295="","",XLOOKUP(C295,'Jogos_MataMata'!$A$2:$A$33,'Jogos_MataMata'!$J$2:$J$33,""))</x:f>
      </x:c>
      <x:c r="F295" s="22" t="str">
        <x:f>IF(C295="","",XLOOKUP(C295,'Jogos_MataMata'!$A$2:$A$33,'Jogos_MataMata'!$K$2:$K$33,""))</x:f>
      </x:c>
      <x:c r="G295" s="22" t="str"/>
      <x:c r="H295" s="22" t="str"/>
      <x:c r="I295" s="22" t="str">
        <x:f>IF(AND(G295&lt;&gt;"",H295&lt;&gt;""),"SIM","NAO")</x:f>
        <x:v>NAO</x:v>
      </x:c>
      <x:c r="J295" s="23" t="str">
        <x:f>IF(OR(C295="",G295="",H295=""),"",LET(hs,XLOOKUP(C295,'Jogos_MataMata'!$A$2:$A$33,'Jogos_MataMata'!$O$2:$O$33,""),as,XLOOKUP(C295,'Jogos_MataMata'!$A$2:$A$33,'Jogos_MataMata'!$P$2:$P$33,""),win,XLOOKUP(C295,'Jogos_MataMata'!$A$2:$A$33,'Jogos_MataMata'!$Q$2:$Q$33,""),predWin,IF(G295&gt;H295,E295,IF(H295&gt;G295,F295,"")),IF(OR(hs="",as="",win=""),"",IF(predWin=win,IF(ABS(G295-H295)=ABS(hs-as),8,3),0))))</x:f>
      </x:c>
    </x:row>
    <x:row r="296">
      <x:c r="A296" s="21" t="str"/>
      <x:c r="B296" s="22" t="str"/>
      <x:c r="C296" s="22" t="str"/>
      <x:c r="D296" s="22" t="str">
        <x:f>IF(C296="","",XLOOKUP(C296,'Jogos_MataMata'!$A$2:$A$33,'Jogos_MataMata'!$B$2:$B$33,""))</x:f>
      </x:c>
      <x:c r="E296" s="22" t="str">
        <x:f>IF(C296="","",XLOOKUP(C296,'Jogos_MataMata'!$A$2:$A$33,'Jogos_MataMata'!$J$2:$J$33,""))</x:f>
      </x:c>
      <x:c r="F296" s="22" t="str">
        <x:f>IF(C296="","",XLOOKUP(C296,'Jogos_MataMata'!$A$2:$A$33,'Jogos_MataMata'!$K$2:$K$33,""))</x:f>
      </x:c>
      <x:c r="G296" s="22" t="str"/>
      <x:c r="H296" s="22" t="str"/>
      <x:c r="I296" s="22" t="str">
        <x:f>IF(AND(G296&lt;&gt;"",H296&lt;&gt;""),"SIM","NAO")</x:f>
        <x:v>NAO</x:v>
      </x:c>
      <x:c r="J296" s="23" t="str">
        <x:f>IF(OR(C296="",G296="",H296=""),"",LET(hs,XLOOKUP(C296,'Jogos_MataMata'!$A$2:$A$33,'Jogos_MataMata'!$O$2:$O$33,""),as,XLOOKUP(C296,'Jogos_MataMata'!$A$2:$A$33,'Jogos_MataMata'!$P$2:$P$33,""),win,XLOOKUP(C296,'Jogos_MataMata'!$A$2:$A$33,'Jogos_MataMata'!$Q$2:$Q$33,""),predWin,IF(G296&gt;H296,E296,IF(H296&gt;G296,F296,"")),IF(OR(hs="",as="",win=""),"",IF(predWin=win,IF(ABS(G296-H296)=ABS(hs-as),8,3),0))))</x:f>
      </x:c>
    </x:row>
    <x:row r="297">
      <x:c r="A297" s="21" t="str"/>
      <x:c r="B297" s="22" t="str"/>
      <x:c r="C297" s="22" t="str"/>
      <x:c r="D297" s="22" t="str">
        <x:f>IF(C297="","",XLOOKUP(C297,'Jogos_MataMata'!$A$2:$A$33,'Jogos_MataMata'!$B$2:$B$33,""))</x:f>
      </x:c>
      <x:c r="E297" s="22" t="str">
        <x:f>IF(C297="","",XLOOKUP(C297,'Jogos_MataMata'!$A$2:$A$33,'Jogos_MataMata'!$J$2:$J$33,""))</x:f>
      </x:c>
      <x:c r="F297" s="22" t="str">
        <x:f>IF(C297="","",XLOOKUP(C297,'Jogos_MataMata'!$A$2:$A$33,'Jogos_MataMata'!$K$2:$K$33,""))</x:f>
      </x:c>
      <x:c r="G297" s="22" t="str"/>
      <x:c r="H297" s="22" t="str"/>
      <x:c r="I297" s="22" t="str">
        <x:f>IF(AND(G297&lt;&gt;"",H297&lt;&gt;""),"SIM","NAO")</x:f>
        <x:v>NAO</x:v>
      </x:c>
      <x:c r="J297" s="23" t="str">
        <x:f>IF(OR(C297="",G297="",H297=""),"",LET(hs,XLOOKUP(C297,'Jogos_MataMata'!$A$2:$A$33,'Jogos_MataMata'!$O$2:$O$33,""),as,XLOOKUP(C297,'Jogos_MataMata'!$A$2:$A$33,'Jogos_MataMata'!$P$2:$P$33,""),win,XLOOKUP(C297,'Jogos_MataMata'!$A$2:$A$33,'Jogos_MataMata'!$Q$2:$Q$33,""),predWin,IF(G297&gt;H297,E297,IF(H297&gt;G297,F297,"")),IF(OR(hs="",as="",win=""),"",IF(predWin=win,IF(ABS(G297-H297)=ABS(hs-as),8,3),0))))</x:f>
      </x:c>
    </x:row>
    <x:row r="298">
      <x:c r="A298" s="21" t="str"/>
      <x:c r="B298" s="22" t="str"/>
      <x:c r="C298" s="22" t="str"/>
      <x:c r="D298" s="22" t="str">
        <x:f>IF(C298="","",XLOOKUP(C298,'Jogos_MataMata'!$A$2:$A$33,'Jogos_MataMata'!$B$2:$B$33,""))</x:f>
      </x:c>
      <x:c r="E298" s="22" t="str">
        <x:f>IF(C298="","",XLOOKUP(C298,'Jogos_MataMata'!$A$2:$A$33,'Jogos_MataMata'!$J$2:$J$33,""))</x:f>
      </x:c>
      <x:c r="F298" s="22" t="str">
        <x:f>IF(C298="","",XLOOKUP(C298,'Jogos_MataMata'!$A$2:$A$33,'Jogos_MataMata'!$K$2:$K$33,""))</x:f>
      </x:c>
      <x:c r="G298" s="22" t="str"/>
      <x:c r="H298" s="22" t="str"/>
      <x:c r="I298" s="22" t="str">
        <x:f>IF(AND(G298&lt;&gt;"",H298&lt;&gt;""),"SIM","NAO")</x:f>
        <x:v>NAO</x:v>
      </x:c>
      <x:c r="J298" s="23" t="str">
        <x:f>IF(OR(C298="",G298="",H298=""),"",LET(hs,XLOOKUP(C298,'Jogos_MataMata'!$A$2:$A$33,'Jogos_MataMata'!$O$2:$O$33,""),as,XLOOKUP(C298,'Jogos_MataMata'!$A$2:$A$33,'Jogos_MataMata'!$P$2:$P$33,""),win,XLOOKUP(C298,'Jogos_MataMata'!$A$2:$A$33,'Jogos_MataMata'!$Q$2:$Q$33,""),predWin,IF(G298&gt;H298,E298,IF(H298&gt;G298,F298,"")),IF(OR(hs="",as="",win=""),"",IF(predWin=win,IF(ABS(G298-H298)=ABS(hs-as),8,3),0))))</x:f>
      </x:c>
    </x:row>
    <x:row r="299">
      <x:c r="A299" s="21" t="str"/>
      <x:c r="B299" s="22" t="str"/>
      <x:c r="C299" s="22" t="str"/>
      <x:c r="D299" s="22" t="str">
        <x:f>IF(C299="","",XLOOKUP(C299,'Jogos_MataMata'!$A$2:$A$33,'Jogos_MataMata'!$B$2:$B$33,""))</x:f>
      </x:c>
      <x:c r="E299" s="22" t="str">
        <x:f>IF(C299="","",XLOOKUP(C299,'Jogos_MataMata'!$A$2:$A$33,'Jogos_MataMata'!$J$2:$J$33,""))</x:f>
      </x:c>
      <x:c r="F299" s="22" t="str">
        <x:f>IF(C299="","",XLOOKUP(C299,'Jogos_MataMata'!$A$2:$A$33,'Jogos_MataMata'!$K$2:$K$33,""))</x:f>
      </x:c>
      <x:c r="G299" s="22" t="str"/>
      <x:c r="H299" s="22" t="str"/>
      <x:c r="I299" s="22" t="str">
        <x:f>IF(AND(G299&lt;&gt;"",H299&lt;&gt;""),"SIM","NAO")</x:f>
        <x:v>NAO</x:v>
      </x:c>
      <x:c r="J299" s="23" t="str">
        <x:f>IF(OR(C299="",G299="",H299=""),"",LET(hs,XLOOKUP(C299,'Jogos_MataMata'!$A$2:$A$33,'Jogos_MataMata'!$O$2:$O$33,""),as,XLOOKUP(C299,'Jogos_MataMata'!$A$2:$A$33,'Jogos_MataMata'!$P$2:$P$33,""),win,XLOOKUP(C299,'Jogos_MataMata'!$A$2:$A$33,'Jogos_MataMata'!$Q$2:$Q$33,""),predWin,IF(G299&gt;H299,E299,IF(H299&gt;G299,F299,"")),IF(OR(hs="",as="",win=""),"",IF(predWin=win,IF(ABS(G299-H299)=ABS(hs-as),8,3),0))))</x:f>
      </x:c>
    </x:row>
    <x:row r="300">
      <x:c r="A300" s="21" t="str"/>
      <x:c r="B300" s="22" t="str"/>
      <x:c r="C300" s="22" t="str"/>
      <x:c r="D300" s="22" t="str">
        <x:f>IF(C300="","",XLOOKUP(C300,'Jogos_MataMata'!$A$2:$A$33,'Jogos_MataMata'!$B$2:$B$33,""))</x:f>
      </x:c>
      <x:c r="E300" s="22" t="str">
        <x:f>IF(C300="","",XLOOKUP(C300,'Jogos_MataMata'!$A$2:$A$33,'Jogos_MataMata'!$J$2:$J$33,""))</x:f>
      </x:c>
      <x:c r="F300" s="22" t="str">
        <x:f>IF(C300="","",XLOOKUP(C300,'Jogos_MataMata'!$A$2:$A$33,'Jogos_MataMata'!$K$2:$K$33,""))</x:f>
      </x:c>
      <x:c r="G300" s="22" t="str"/>
      <x:c r="H300" s="22" t="str"/>
      <x:c r="I300" s="22" t="str">
        <x:f>IF(AND(G300&lt;&gt;"",H300&lt;&gt;""),"SIM","NAO")</x:f>
        <x:v>NAO</x:v>
      </x:c>
      <x:c r="J300" s="23" t="str">
        <x:f>IF(OR(C300="",G300="",H300=""),"",LET(hs,XLOOKUP(C300,'Jogos_MataMata'!$A$2:$A$33,'Jogos_MataMata'!$O$2:$O$33,""),as,XLOOKUP(C300,'Jogos_MataMata'!$A$2:$A$33,'Jogos_MataMata'!$P$2:$P$33,""),win,XLOOKUP(C300,'Jogos_MataMata'!$A$2:$A$33,'Jogos_MataMata'!$Q$2:$Q$33,""),predWin,IF(G300&gt;H300,E300,IF(H300&gt;G300,F300,"")),IF(OR(hs="",as="",win=""),"",IF(predWin=win,IF(ABS(G300-H300)=ABS(hs-as),8,3),0))))</x:f>
      </x:c>
    </x:row>
    <x:row r="301">
      <x:c r="A301" s="21" t="str"/>
      <x:c r="B301" s="22" t="str"/>
      <x:c r="C301" s="22" t="str"/>
      <x:c r="D301" s="22" t="str">
        <x:f>IF(C301="","",XLOOKUP(C301,'Jogos_MataMata'!$A$2:$A$33,'Jogos_MataMata'!$B$2:$B$33,""))</x:f>
      </x:c>
      <x:c r="E301" s="22" t="str">
        <x:f>IF(C301="","",XLOOKUP(C301,'Jogos_MataMata'!$A$2:$A$33,'Jogos_MataMata'!$J$2:$J$33,""))</x:f>
      </x:c>
      <x:c r="F301" s="22" t="str">
        <x:f>IF(C301="","",XLOOKUP(C301,'Jogos_MataMata'!$A$2:$A$33,'Jogos_MataMata'!$K$2:$K$33,""))</x:f>
      </x:c>
      <x:c r="G301" s="22" t="str"/>
      <x:c r="H301" s="22" t="str"/>
      <x:c r="I301" s="22" t="str">
        <x:f>IF(AND(G301&lt;&gt;"",H301&lt;&gt;""),"SIM","NAO")</x:f>
        <x:v>NAO</x:v>
      </x:c>
      <x:c r="J301" s="23" t="str">
        <x:f>IF(OR(C301="",G301="",H301=""),"",LET(hs,XLOOKUP(C301,'Jogos_MataMata'!$A$2:$A$33,'Jogos_MataMata'!$O$2:$O$33,""),as,XLOOKUP(C301,'Jogos_MataMata'!$A$2:$A$33,'Jogos_MataMata'!$P$2:$P$33,""),win,XLOOKUP(C301,'Jogos_MataMata'!$A$2:$A$33,'Jogos_MataMata'!$Q$2:$Q$33,""),predWin,IF(G301&gt;H301,E301,IF(H301&gt;G301,F301,"")),IF(OR(hs="",as="",win=""),"",IF(predWin=win,IF(ABS(G301-H301)=ABS(hs-as),8,3),0))))</x:f>
      </x:c>
    </x:row>
    <x:row r="302">
      <x:c r="A302" s="21" t="str"/>
      <x:c r="B302" s="22" t="str"/>
      <x:c r="C302" s="22" t="str"/>
      <x:c r="D302" s="22" t="str">
        <x:f>IF(C302="","",XLOOKUP(C302,'Jogos_MataMata'!$A$2:$A$33,'Jogos_MataMata'!$B$2:$B$33,""))</x:f>
      </x:c>
      <x:c r="E302" s="22" t="str">
        <x:f>IF(C302="","",XLOOKUP(C302,'Jogos_MataMata'!$A$2:$A$33,'Jogos_MataMata'!$J$2:$J$33,""))</x:f>
      </x:c>
      <x:c r="F302" s="22" t="str">
        <x:f>IF(C302="","",XLOOKUP(C302,'Jogos_MataMata'!$A$2:$A$33,'Jogos_MataMata'!$K$2:$K$33,""))</x:f>
      </x:c>
      <x:c r="G302" s="22" t="str"/>
      <x:c r="H302" s="22" t="str"/>
      <x:c r="I302" s="22" t="str">
        <x:f>IF(AND(G302&lt;&gt;"",H302&lt;&gt;""),"SIM","NAO")</x:f>
        <x:v>NAO</x:v>
      </x:c>
      <x:c r="J302" s="23" t="str">
        <x:f>IF(OR(C302="",G302="",H302=""),"",LET(hs,XLOOKUP(C302,'Jogos_MataMata'!$A$2:$A$33,'Jogos_MataMata'!$O$2:$O$33,""),as,XLOOKUP(C302,'Jogos_MataMata'!$A$2:$A$33,'Jogos_MataMata'!$P$2:$P$33,""),win,XLOOKUP(C302,'Jogos_MataMata'!$A$2:$A$33,'Jogos_MataMata'!$Q$2:$Q$33,""),predWin,IF(G302&gt;H302,E302,IF(H302&gt;G302,F302,"")),IF(OR(hs="",as="",win=""),"",IF(predWin=win,IF(ABS(G302-H302)=ABS(hs-as),8,3),0))))</x:f>
      </x:c>
    </x:row>
    <x:row r="303">
      <x:c r="A303" s="21" t="str"/>
      <x:c r="B303" s="22" t="str"/>
      <x:c r="C303" s="22" t="str"/>
      <x:c r="D303" s="22" t="str">
        <x:f>IF(C303="","",XLOOKUP(C303,'Jogos_MataMata'!$A$2:$A$33,'Jogos_MataMata'!$B$2:$B$33,""))</x:f>
      </x:c>
      <x:c r="E303" s="22" t="str">
        <x:f>IF(C303="","",XLOOKUP(C303,'Jogos_MataMata'!$A$2:$A$33,'Jogos_MataMata'!$J$2:$J$33,""))</x:f>
      </x:c>
      <x:c r="F303" s="22" t="str">
        <x:f>IF(C303="","",XLOOKUP(C303,'Jogos_MataMata'!$A$2:$A$33,'Jogos_MataMata'!$K$2:$K$33,""))</x:f>
      </x:c>
      <x:c r="G303" s="22" t="str"/>
      <x:c r="H303" s="22" t="str"/>
      <x:c r="I303" s="22" t="str">
        <x:f>IF(AND(G303&lt;&gt;"",H303&lt;&gt;""),"SIM","NAO")</x:f>
        <x:v>NAO</x:v>
      </x:c>
      <x:c r="J303" s="23" t="str">
        <x:f>IF(OR(C303="",G303="",H303=""),"",LET(hs,XLOOKUP(C303,'Jogos_MataMata'!$A$2:$A$33,'Jogos_MataMata'!$O$2:$O$33,""),as,XLOOKUP(C303,'Jogos_MataMata'!$A$2:$A$33,'Jogos_MataMata'!$P$2:$P$33,""),win,XLOOKUP(C303,'Jogos_MataMata'!$A$2:$A$33,'Jogos_MataMata'!$Q$2:$Q$33,""),predWin,IF(G303&gt;H303,E303,IF(H303&gt;G303,F303,"")),IF(OR(hs="",as="",win=""),"",IF(predWin=win,IF(ABS(G303-H303)=ABS(hs-as),8,3),0))))</x:f>
      </x:c>
    </x:row>
    <x:row r="304">
      <x:c r="A304" s="21" t="str"/>
      <x:c r="B304" s="22" t="str"/>
      <x:c r="C304" s="22" t="str"/>
      <x:c r="D304" s="22" t="str">
        <x:f>IF(C304="","",XLOOKUP(C304,'Jogos_MataMata'!$A$2:$A$33,'Jogos_MataMata'!$B$2:$B$33,""))</x:f>
      </x:c>
      <x:c r="E304" s="22" t="str">
        <x:f>IF(C304="","",XLOOKUP(C304,'Jogos_MataMata'!$A$2:$A$33,'Jogos_MataMata'!$J$2:$J$33,""))</x:f>
      </x:c>
      <x:c r="F304" s="22" t="str">
        <x:f>IF(C304="","",XLOOKUP(C304,'Jogos_MataMata'!$A$2:$A$33,'Jogos_MataMata'!$K$2:$K$33,""))</x:f>
      </x:c>
      <x:c r="G304" s="22" t="str"/>
      <x:c r="H304" s="22" t="str"/>
      <x:c r="I304" s="22" t="str">
        <x:f>IF(AND(G304&lt;&gt;"",H304&lt;&gt;""),"SIM","NAO")</x:f>
        <x:v>NAO</x:v>
      </x:c>
      <x:c r="J304" s="23" t="str">
        <x:f>IF(OR(C304="",G304="",H304=""),"",LET(hs,XLOOKUP(C304,'Jogos_MataMata'!$A$2:$A$33,'Jogos_MataMata'!$O$2:$O$33,""),as,XLOOKUP(C304,'Jogos_MataMata'!$A$2:$A$33,'Jogos_MataMata'!$P$2:$P$33,""),win,XLOOKUP(C304,'Jogos_MataMata'!$A$2:$A$33,'Jogos_MataMata'!$Q$2:$Q$33,""),predWin,IF(G304&gt;H304,E304,IF(H304&gt;G304,F304,"")),IF(OR(hs="",as="",win=""),"",IF(predWin=win,IF(ABS(G304-H304)=ABS(hs-as),8,3),0))))</x:f>
      </x:c>
    </x:row>
    <x:row r="305">
      <x:c r="A305" s="21" t="str"/>
      <x:c r="B305" s="22" t="str"/>
      <x:c r="C305" s="22" t="str"/>
      <x:c r="D305" s="22" t="str">
        <x:f>IF(C305="","",XLOOKUP(C305,'Jogos_MataMata'!$A$2:$A$33,'Jogos_MataMata'!$B$2:$B$33,""))</x:f>
      </x:c>
      <x:c r="E305" s="22" t="str">
        <x:f>IF(C305="","",XLOOKUP(C305,'Jogos_MataMata'!$A$2:$A$33,'Jogos_MataMata'!$J$2:$J$33,""))</x:f>
      </x:c>
      <x:c r="F305" s="22" t="str">
        <x:f>IF(C305="","",XLOOKUP(C305,'Jogos_MataMata'!$A$2:$A$33,'Jogos_MataMata'!$K$2:$K$33,""))</x:f>
      </x:c>
      <x:c r="G305" s="22" t="str"/>
      <x:c r="H305" s="22" t="str"/>
      <x:c r="I305" s="22" t="str">
        <x:f>IF(AND(G305&lt;&gt;"",H305&lt;&gt;""),"SIM","NAO")</x:f>
        <x:v>NAO</x:v>
      </x:c>
      <x:c r="J305" s="23" t="str">
        <x:f>IF(OR(C305="",G305="",H305=""),"",LET(hs,XLOOKUP(C305,'Jogos_MataMata'!$A$2:$A$33,'Jogos_MataMata'!$O$2:$O$33,""),as,XLOOKUP(C305,'Jogos_MataMata'!$A$2:$A$33,'Jogos_MataMata'!$P$2:$P$33,""),win,XLOOKUP(C305,'Jogos_MataMata'!$A$2:$A$33,'Jogos_MataMata'!$Q$2:$Q$33,""),predWin,IF(G305&gt;H305,E305,IF(H305&gt;G305,F305,"")),IF(OR(hs="",as="",win=""),"",IF(predWin=win,IF(ABS(G305-H305)=ABS(hs-as),8,3),0))))</x:f>
      </x:c>
    </x:row>
    <x:row r="306">
      <x:c r="A306" s="21" t="str"/>
      <x:c r="B306" s="22" t="str"/>
      <x:c r="C306" s="22" t="str"/>
      <x:c r="D306" s="22" t="str">
        <x:f>IF(C306="","",XLOOKUP(C306,'Jogos_MataMata'!$A$2:$A$33,'Jogos_MataMata'!$B$2:$B$33,""))</x:f>
      </x:c>
      <x:c r="E306" s="22" t="str">
        <x:f>IF(C306="","",XLOOKUP(C306,'Jogos_MataMata'!$A$2:$A$33,'Jogos_MataMata'!$J$2:$J$33,""))</x:f>
      </x:c>
      <x:c r="F306" s="22" t="str">
        <x:f>IF(C306="","",XLOOKUP(C306,'Jogos_MataMata'!$A$2:$A$33,'Jogos_MataMata'!$K$2:$K$33,""))</x:f>
      </x:c>
      <x:c r="G306" s="22" t="str"/>
      <x:c r="H306" s="22" t="str"/>
      <x:c r="I306" s="22" t="str">
        <x:f>IF(AND(G306&lt;&gt;"",H306&lt;&gt;""),"SIM","NAO")</x:f>
        <x:v>NAO</x:v>
      </x:c>
      <x:c r="J306" s="23" t="str">
        <x:f>IF(OR(C306="",G306="",H306=""),"",LET(hs,XLOOKUP(C306,'Jogos_MataMata'!$A$2:$A$33,'Jogos_MataMata'!$O$2:$O$33,""),as,XLOOKUP(C306,'Jogos_MataMata'!$A$2:$A$33,'Jogos_MataMata'!$P$2:$P$33,""),win,XLOOKUP(C306,'Jogos_MataMata'!$A$2:$A$33,'Jogos_MataMata'!$Q$2:$Q$33,""),predWin,IF(G306&gt;H306,E306,IF(H306&gt;G306,F306,"")),IF(OR(hs="",as="",win=""),"",IF(predWin=win,IF(ABS(G306-H306)=ABS(hs-as),8,3),0))))</x:f>
      </x:c>
    </x:row>
    <x:row r="307">
      <x:c r="A307" s="21" t="str"/>
      <x:c r="B307" s="22" t="str"/>
      <x:c r="C307" s="22" t="str"/>
      <x:c r="D307" s="22" t="str">
        <x:f>IF(C307="","",XLOOKUP(C307,'Jogos_MataMata'!$A$2:$A$33,'Jogos_MataMata'!$B$2:$B$33,""))</x:f>
      </x:c>
      <x:c r="E307" s="22" t="str">
        <x:f>IF(C307="","",XLOOKUP(C307,'Jogos_MataMata'!$A$2:$A$33,'Jogos_MataMata'!$J$2:$J$33,""))</x:f>
      </x:c>
      <x:c r="F307" s="22" t="str">
        <x:f>IF(C307="","",XLOOKUP(C307,'Jogos_MataMata'!$A$2:$A$33,'Jogos_MataMata'!$K$2:$K$33,""))</x:f>
      </x:c>
      <x:c r="G307" s="22" t="str"/>
      <x:c r="H307" s="22" t="str"/>
      <x:c r="I307" s="22" t="str">
        <x:f>IF(AND(G307&lt;&gt;"",H307&lt;&gt;""),"SIM","NAO")</x:f>
        <x:v>NAO</x:v>
      </x:c>
      <x:c r="J307" s="23" t="str">
        <x:f>IF(OR(C307="",G307="",H307=""),"",LET(hs,XLOOKUP(C307,'Jogos_MataMata'!$A$2:$A$33,'Jogos_MataMata'!$O$2:$O$33,""),as,XLOOKUP(C307,'Jogos_MataMata'!$A$2:$A$33,'Jogos_MataMata'!$P$2:$P$33,""),win,XLOOKUP(C307,'Jogos_MataMata'!$A$2:$A$33,'Jogos_MataMata'!$Q$2:$Q$33,""),predWin,IF(G307&gt;H307,E307,IF(H307&gt;G307,F307,"")),IF(OR(hs="",as="",win=""),"",IF(predWin=win,IF(ABS(G307-H307)=ABS(hs-as),8,3),0))))</x:f>
      </x:c>
    </x:row>
    <x:row r="308">
      <x:c r="A308" s="21" t="str"/>
      <x:c r="B308" s="22" t="str"/>
      <x:c r="C308" s="22" t="str"/>
      <x:c r="D308" s="22" t="str">
        <x:f>IF(C308="","",XLOOKUP(C308,'Jogos_MataMata'!$A$2:$A$33,'Jogos_MataMata'!$B$2:$B$33,""))</x:f>
      </x:c>
      <x:c r="E308" s="22" t="str">
        <x:f>IF(C308="","",XLOOKUP(C308,'Jogos_MataMata'!$A$2:$A$33,'Jogos_MataMata'!$J$2:$J$33,""))</x:f>
      </x:c>
      <x:c r="F308" s="22" t="str">
        <x:f>IF(C308="","",XLOOKUP(C308,'Jogos_MataMata'!$A$2:$A$33,'Jogos_MataMata'!$K$2:$K$33,""))</x:f>
      </x:c>
      <x:c r="G308" s="22" t="str"/>
      <x:c r="H308" s="22" t="str"/>
      <x:c r="I308" s="22" t="str">
        <x:f>IF(AND(G308&lt;&gt;"",H308&lt;&gt;""),"SIM","NAO")</x:f>
        <x:v>NAO</x:v>
      </x:c>
      <x:c r="J308" s="23" t="str">
        <x:f>IF(OR(C308="",G308="",H308=""),"",LET(hs,XLOOKUP(C308,'Jogos_MataMata'!$A$2:$A$33,'Jogos_MataMata'!$O$2:$O$33,""),as,XLOOKUP(C308,'Jogos_MataMata'!$A$2:$A$33,'Jogos_MataMata'!$P$2:$P$33,""),win,XLOOKUP(C308,'Jogos_MataMata'!$A$2:$A$33,'Jogos_MataMata'!$Q$2:$Q$33,""),predWin,IF(G308&gt;H308,E308,IF(H308&gt;G308,F308,"")),IF(OR(hs="",as="",win=""),"",IF(predWin=win,IF(ABS(G308-H308)=ABS(hs-as),8,3),0))))</x:f>
      </x:c>
    </x:row>
    <x:row r="309">
      <x:c r="A309" s="21" t="str"/>
      <x:c r="B309" s="22" t="str"/>
      <x:c r="C309" s="22" t="str"/>
      <x:c r="D309" s="22" t="str">
        <x:f>IF(C309="","",XLOOKUP(C309,'Jogos_MataMata'!$A$2:$A$33,'Jogos_MataMata'!$B$2:$B$33,""))</x:f>
      </x:c>
      <x:c r="E309" s="22" t="str">
        <x:f>IF(C309="","",XLOOKUP(C309,'Jogos_MataMata'!$A$2:$A$33,'Jogos_MataMata'!$J$2:$J$33,""))</x:f>
      </x:c>
      <x:c r="F309" s="22" t="str">
        <x:f>IF(C309="","",XLOOKUP(C309,'Jogos_MataMata'!$A$2:$A$33,'Jogos_MataMata'!$K$2:$K$33,""))</x:f>
      </x:c>
      <x:c r="G309" s="22" t="str"/>
      <x:c r="H309" s="22" t="str"/>
      <x:c r="I309" s="22" t="str">
        <x:f>IF(AND(G309&lt;&gt;"",H309&lt;&gt;""),"SIM","NAO")</x:f>
        <x:v>NAO</x:v>
      </x:c>
      <x:c r="J309" s="23" t="str">
        <x:f>IF(OR(C309="",G309="",H309=""),"",LET(hs,XLOOKUP(C309,'Jogos_MataMata'!$A$2:$A$33,'Jogos_MataMata'!$O$2:$O$33,""),as,XLOOKUP(C309,'Jogos_MataMata'!$A$2:$A$33,'Jogos_MataMata'!$P$2:$P$33,""),win,XLOOKUP(C309,'Jogos_MataMata'!$A$2:$A$33,'Jogos_MataMata'!$Q$2:$Q$33,""),predWin,IF(G309&gt;H309,E309,IF(H309&gt;G309,F309,"")),IF(OR(hs="",as="",win=""),"",IF(predWin=win,IF(ABS(G309-H309)=ABS(hs-as),8,3),0))))</x:f>
      </x:c>
    </x:row>
    <x:row r="310">
      <x:c r="A310" s="21" t="str"/>
      <x:c r="B310" s="22" t="str"/>
      <x:c r="C310" s="22" t="str"/>
      <x:c r="D310" s="22" t="str">
        <x:f>IF(C310="","",XLOOKUP(C310,'Jogos_MataMata'!$A$2:$A$33,'Jogos_MataMata'!$B$2:$B$33,""))</x:f>
      </x:c>
      <x:c r="E310" s="22" t="str">
        <x:f>IF(C310="","",XLOOKUP(C310,'Jogos_MataMata'!$A$2:$A$33,'Jogos_MataMata'!$J$2:$J$33,""))</x:f>
      </x:c>
      <x:c r="F310" s="22" t="str">
        <x:f>IF(C310="","",XLOOKUP(C310,'Jogos_MataMata'!$A$2:$A$33,'Jogos_MataMata'!$K$2:$K$33,""))</x:f>
      </x:c>
      <x:c r="G310" s="22" t="str"/>
      <x:c r="H310" s="22" t="str"/>
      <x:c r="I310" s="22" t="str">
        <x:f>IF(AND(G310&lt;&gt;"",H310&lt;&gt;""),"SIM","NAO")</x:f>
        <x:v>NAO</x:v>
      </x:c>
      <x:c r="J310" s="23" t="str">
        <x:f>IF(OR(C310="",G310="",H310=""),"",LET(hs,XLOOKUP(C310,'Jogos_MataMata'!$A$2:$A$33,'Jogos_MataMata'!$O$2:$O$33,""),as,XLOOKUP(C310,'Jogos_MataMata'!$A$2:$A$33,'Jogos_MataMata'!$P$2:$P$33,""),win,XLOOKUP(C310,'Jogos_MataMata'!$A$2:$A$33,'Jogos_MataMata'!$Q$2:$Q$33,""),predWin,IF(G310&gt;H310,E310,IF(H310&gt;G310,F310,"")),IF(OR(hs="",as="",win=""),"",IF(predWin=win,IF(ABS(G310-H310)=ABS(hs-as),8,3),0))))</x:f>
      </x:c>
    </x:row>
    <x:row r="311">
      <x:c r="A311" s="21" t="str"/>
      <x:c r="B311" s="22" t="str"/>
      <x:c r="C311" s="22" t="str"/>
      <x:c r="D311" s="22" t="str">
        <x:f>IF(C311="","",XLOOKUP(C311,'Jogos_MataMata'!$A$2:$A$33,'Jogos_MataMata'!$B$2:$B$33,""))</x:f>
      </x:c>
      <x:c r="E311" s="22" t="str">
        <x:f>IF(C311="","",XLOOKUP(C311,'Jogos_MataMata'!$A$2:$A$33,'Jogos_MataMata'!$J$2:$J$33,""))</x:f>
      </x:c>
      <x:c r="F311" s="22" t="str">
        <x:f>IF(C311="","",XLOOKUP(C311,'Jogos_MataMata'!$A$2:$A$33,'Jogos_MataMata'!$K$2:$K$33,""))</x:f>
      </x:c>
      <x:c r="G311" s="22" t="str"/>
      <x:c r="H311" s="22" t="str"/>
      <x:c r="I311" s="22" t="str">
        <x:f>IF(AND(G311&lt;&gt;"",H311&lt;&gt;""),"SIM","NAO")</x:f>
        <x:v>NAO</x:v>
      </x:c>
      <x:c r="J311" s="23" t="str">
        <x:f>IF(OR(C311="",G311="",H311=""),"",LET(hs,XLOOKUP(C311,'Jogos_MataMata'!$A$2:$A$33,'Jogos_MataMata'!$O$2:$O$33,""),as,XLOOKUP(C311,'Jogos_MataMata'!$A$2:$A$33,'Jogos_MataMata'!$P$2:$P$33,""),win,XLOOKUP(C311,'Jogos_MataMata'!$A$2:$A$33,'Jogos_MataMata'!$Q$2:$Q$33,""),predWin,IF(G311&gt;H311,E311,IF(H311&gt;G311,F311,"")),IF(OR(hs="",as="",win=""),"",IF(predWin=win,IF(ABS(G311-H311)=ABS(hs-as),8,3),0))))</x:f>
      </x:c>
    </x:row>
    <x:row r="312">
      <x:c r="A312" s="21" t="str"/>
      <x:c r="B312" s="22" t="str"/>
      <x:c r="C312" s="22" t="str"/>
      <x:c r="D312" s="22" t="str">
        <x:f>IF(C312="","",XLOOKUP(C312,'Jogos_MataMata'!$A$2:$A$33,'Jogos_MataMata'!$B$2:$B$33,""))</x:f>
      </x:c>
      <x:c r="E312" s="22" t="str">
        <x:f>IF(C312="","",XLOOKUP(C312,'Jogos_MataMata'!$A$2:$A$33,'Jogos_MataMata'!$J$2:$J$33,""))</x:f>
      </x:c>
      <x:c r="F312" s="22" t="str">
        <x:f>IF(C312="","",XLOOKUP(C312,'Jogos_MataMata'!$A$2:$A$33,'Jogos_MataMata'!$K$2:$K$33,""))</x:f>
      </x:c>
      <x:c r="G312" s="22" t="str"/>
      <x:c r="H312" s="22" t="str"/>
      <x:c r="I312" s="22" t="str">
        <x:f>IF(AND(G312&lt;&gt;"",H312&lt;&gt;""),"SIM","NAO")</x:f>
        <x:v>NAO</x:v>
      </x:c>
      <x:c r="J312" s="23" t="str">
        <x:f>IF(OR(C312="",G312="",H312=""),"",LET(hs,XLOOKUP(C312,'Jogos_MataMata'!$A$2:$A$33,'Jogos_MataMata'!$O$2:$O$33,""),as,XLOOKUP(C312,'Jogos_MataMata'!$A$2:$A$33,'Jogos_MataMata'!$P$2:$P$33,""),win,XLOOKUP(C312,'Jogos_MataMata'!$A$2:$A$33,'Jogos_MataMata'!$Q$2:$Q$33,""),predWin,IF(G312&gt;H312,E312,IF(H312&gt;G312,F312,"")),IF(OR(hs="",as="",win=""),"",IF(predWin=win,IF(ABS(G312-H312)=ABS(hs-as),8,3),0))))</x:f>
      </x:c>
    </x:row>
    <x:row r="313">
      <x:c r="A313" s="21" t="str"/>
      <x:c r="B313" s="22" t="str"/>
      <x:c r="C313" s="22" t="str"/>
      <x:c r="D313" s="22" t="str">
        <x:f>IF(C313="","",XLOOKUP(C313,'Jogos_MataMata'!$A$2:$A$33,'Jogos_MataMata'!$B$2:$B$33,""))</x:f>
      </x:c>
      <x:c r="E313" s="22" t="str">
        <x:f>IF(C313="","",XLOOKUP(C313,'Jogos_MataMata'!$A$2:$A$33,'Jogos_MataMata'!$J$2:$J$33,""))</x:f>
      </x:c>
      <x:c r="F313" s="22" t="str">
        <x:f>IF(C313="","",XLOOKUP(C313,'Jogos_MataMata'!$A$2:$A$33,'Jogos_MataMata'!$K$2:$K$33,""))</x:f>
      </x:c>
      <x:c r="G313" s="22" t="str"/>
      <x:c r="H313" s="22" t="str"/>
      <x:c r="I313" s="22" t="str">
        <x:f>IF(AND(G313&lt;&gt;"",H313&lt;&gt;""),"SIM","NAO")</x:f>
        <x:v>NAO</x:v>
      </x:c>
      <x:c r="J313" s="23" t="str">
        <x:f>IF(OR(C313="",G313="",H313=""),"",LET(hs,XLOOKUP(C313,'Jogos_MataMata'!$A$2:$A$33,'Jogos_MataMata'!$O$2:$O$33,""),as,XLOOKUP(C313,'Jogos_MataMata'!$A$2:$A$33,'Jogos_MataMata'!$P$2:$P$33,""),win,XLOOKUP(C313,'Jogos_MataMata'!$A$2:$A$33,'Jogos_MataMata'!$Q$2:$Q$33,""),predWin,IF(G313&gt;H313,E313,IF(H313&gt;G313,F313,"")),IF(OR(hs="",as="",win=""),"",IF(predWin=win,IF(ABS(G313-H313)=ABS(hs-as),8,3),0))))</x:f>
      </x:c>
    </x:row>
    <x:row r="314">
      <x:c r="A314" s="21" t="str"/>
      <x:c r="B314" s="22" t="str"/>
      <x:c r="C314" s="22" t="str"/>
      <x:c r="D314" s="22" t="str">
        <x:f>IF(C314="","",XLOOKUP(C314,'Jogos_MataMata'!$A$2:$A$33,'Jogos_MataMata'!$B$2:$B$33,""))</x:f>
      </x:c>
      <x:c r="E314" s="22" t="str">
        <x:f>IF(C314="","",XLOOKUP(C314,'Jogos_MataMata'!$A$2:$A$33,'Jogos_MataMata'!$J$2:$J$33,""))</x:f>
      </x:c>
      <x:c r="F314" s="22" t="str">
        <x:f>IF(C314="","",XLOOKUP(C314,'Jogos_MataMata'!$A$2:$A$33,'Jogos_MataMata'!$K$2:$K$33,""))</x:f>
      </x:c>
      <x:c r="G314" s="22" t="str"/>
      <x:c r="H314" s="22" t="str"/>
      <x:c r="I314" s="22" t="str">
        <x:f>IF(AND(G314&lt;&gt;"",H314&lt;&gt;""),"SIM","NAO")</x:f>
        <x:v>NAO</x:v>
      </x:c>
      <x:c r="J314" s="23" t="str">
        <x:f>IF(OR(C314="",G314="",H314=""),"",LET(hs,XLOOKUP(C314,'Jogos_MataMata'!$A$2:$A$33,'Jogos_MataMata'!$O$2:$O$33,""),as,XLOOKUP(C314,'Jogos_MataMata'!$A$2:$A$33,'Jogos_MataMata'!$P$2:$P$33,""),win,XLOOKUP(C314,'Jogos_MataMata'!$A$2:$A$33,'Jogos_MataMata'!$Q$2:$Q$33,""),predWin,IF(G314&gt;H314,E314,IF(H314&gt;G314,F314,"")),IF(OR(hs="",as="",win=""),"",IF(predWin=win,IF(ABS(G314-H314)=ABS(hs-as),8,3),0))))</x:f>
      </x:c>
    </x:row>
    <x:row r="315">
      <x:c r="A315" s="21" t="str"/>
      <x:c r="B315" s="22" t="str"/>
      <x:c r="C315" s="22" t="str"/>
      <x:c r="D315" s="22" t="str">
        <x:f>IF(C315="","",XLOOKUP(C315,'Jogos_MataMata'!$A$2:$A$33,'Jogos_MataMata'!$B$2:$B$33,""))</x:f>
      </x:c>
      <x:c r="E315" s="22" t="str">
        <x:f>IF(C315="","",XLOOKUP(C315,'Jogos_MataMata'!$A$2:$A$33,'Jogos_MataMata'!$J$2:$J$33,""))</x:f>
      </x:c>
      <x:c r="F315" s="22" t="str">
        <x:f>IF(C315="","",XLOOKUP(C315,'Jogos_MataMata'!$A$2:$A$33,'Jogos_MataMata'!$K$2:$K$33,""))</x:f>
      </x:c>
      <x:c r="G315" s="22" t="str"/>
      <x:c r="H315" s="22" t="str"/>
      <x:c r="I315" s="22" t="str">
        <x:f>IF(AND(G315&lt;&gt;"",H315&lt;&gt;""),"SIM","NAO")</x:f>
        <x:v>NAO</x:v>
      </x:c>
      <x:c r="J315" s="23" t="str">
        <x:f>IF(OR(C315="",G315="",H315=""),"",LET(hs,XLOOKUP(C315,'Jogos_MataMata'!$A$2:$A$33,'Jogos_MataMata'!$O$2:$O$33,""),as,XLOOKUP(C315,'Jogos_MataMata'!$A$2:$A$33,'Jogos_MataMata'!$P$2:$P$33,""),win,XLOOKUP(C315,'Jogos_MataMata'!$A$2:$A$33,'Jogos_MataMata'!$Q$2:$Q$33,""),predWin,IF(G315&gt;H315,E315,IF(H315&gt;G315,F315,"")),IF(OR(hs="",as="",win=""),"",IF(predWin=win,IF(ABS(G315-H315)=ABS(hs-as),8,3),0))))</x:f>
      </x:c>
    </x:row>
    <x:row r="316">
      <x:c r="A316" s="21" t="str"/>
      <x:c r="B316" s="22" t="str"/>
      <x:c r="C316" s="22" t="str"/>
      <x:c r="D316" s="22" t="str">
        <x:f>IF(C316="","",XLOOKUP(C316,'Jogos_MataMata'!$A$2:$A$33,'Jogos_MataMata'!$B$2:$B$33,""))</x:f>
      </x:c>
      <x:c r="E316" s="22" t="str">
        <x:f>IF(C316="","",XLOOKUP(C316,'Jogos_MataMata'!$A$2:$A$33,'Jogos_MataMata'!$J$2:$J$33,""))</x:f>
      </x:c>
      <x:c r="F316" s="22" t="str">
        <x:f>IF(C316="","",XLOOKUP(C316,'Jogos_MataMata'!$A$2:$A$33,'Jogos_MataMata'!$K$2:$K$33,""))</x:f>
      </x:c>
      <x:c r="G316" s="22" t="str"/>
      <x:c r="H316" s="22" t="str"/>
      <x:c r="I316" s="22" t="str">
        <x:f>IF(AND(G316&lt;&gt;"",H316&lt;&gt;""),"SIM","NAO")</x:f>
        <x:v>NAO</x:v>
      </x:c>
      <x:c r="J316" s="23" t="str">
        <x:f>IF(OR(C316="",G316="",H316=""),"",LET(hs,XLOOKUP(C316,'Jogos_MataMata'!$A$2:$A$33,'Jogos_MataMata'!$O$2:$O$33,""),as,XLOOKUP(C316,'Jogos_MataMata'!$A$2:$A$33,'Jogos_MataMata'!$P$2:$P$33,""),win,XLOOKUP(C316,'Jogos_MataMata'!$A$2:$A$33,'Jogos_MataMata'!$Q$2:$Q$33,""),predWin,IF(G316&gt;H316,E316,IF(H316&gt;G316,F316,"")),IF(OR(hs="",as="",win=""),"",IF(predWin=win,IF(ABS(G316-H316)=ABS(hs-as),8,3),0))))</x:f>
      </x:c>
    </x:row>
    <x:row r="317">
      <x:c r="A317" s="21" t="str"/>
      <x:c r="B317" s="22" t="str"/>
      <x:c r="C317" s="22" t="str"/>
      <x:c r="D317" s="22" t="str">
        <x:f>IF(C317="","",XLOOKUP(C317,'Jogos_MataMata'!$A$2:$A$33,'Jogos_MataMata'!$B$2:$B$33,""))</x:f>
      </x:c>
      <x:c r="E317" s="22" t="str">
        <x:f>IF(C317="","",XLOOKUP(C317,'Jogos_MataMata'!$A$2:$A$33,'Jogos_MataMata'!$J$2:$J$33,""))</x:f>
      </x:c>
      <x:c r="F317" s="22" t="str">
        <x:f>IF(C317="","",XLOOKUP(C317,'Jogos_MataMata'!$A$2:$A$33,'Jogos_MataMata'!$K$2:$K$33,""))</x:f>
      </x:c>
      <x:c r="G317" s="22" t="str"/>
      <x:c r="H317" s="22" t="str"/>
      <x:c r="I317" s="22" t="str">
        <x:f>IF(AND(G317&lt;&gt;"",H317&lt;&gt;""),"SIM","NAO")</x:f>
        <x:v>NAO</x:v>
      </x:c>
      <x:c r="J317" s="23" t="str">
        <x:f>IF(OR(C317="",G317="",H317=""),"",LET(hs,XLOOKUP(C317,'Jogos_MataMata'!$A$2:$A$33,'Jogos_MataMata'!$O$2:$O$33,""),as,XLOOKUP(C317,'Jogos_MataMata'!$A$2:$A$33,'Jogos_MataMata'!$P$2:$P$33,""),win,XLOOKUP(C317,'Jogos_MataMata'!$A$2:$A$33,'Jogos_MataMata'!$Q$2:$Q$33,""),predWin,IF(G317&gt;H317,E317,IF(H317&gt;G317,F317,"")),IF(OR(hs="",as="",win=""),"",IF(predWin=win,IF(ABS(G317-H317)=ABS(hs-as),8,3),0))))</x:f>
      </x:c>
    </x:row>
    <x:row r="318">
      <x:c r="A318" s="21" t="str"/>
      <x:c r="B318" s="22" t="str"/>
      <x:c r="C318" s="22" t="str"/>
      <x:c r="D318" s="22" t="str">
        <x:f>IF(C318="","",XLOOKUP(C318,'Jogos_MataMata'!$A$2:$A$33,'Jogos_MataMata'!$B$2:$B$33,""))</x:f>
      </x:c>
      <x:c r="E318" s="22" t="str">
        <x:f>IF(C318="","",XLOOKUP(C318,'Jogos_MataMata'!$A$2:$A$33,'Jogos_MataMata'!$J$2:$J$33,""))</x:f>
      </x:c>
      <x:c r="F318" s="22" t="str">
        <x:f>IF(C318="","",XLOOKUP(C318,'Jogos_MataMata'!$A$2:$A$33,'Jogos_MataMata'!$K$2:$K$33,""))</x:f>
      </x:c>
      <x:c r="G318" s="22" t="str"/>
      <x:c r="H318" s="22" t="str"/>
      <x:c r="I318" s="22" t="str">
        <x:f>IF(AND(G318&lt;&gt;"",H318&lt;&gt;""),"SIM","NAO")</x:f>
        <x:v>NAO</x:v>
      </x:c>
      <x:c r="J318" s="23" t="str">
        <x:f>IF(OR(C318="",G318="",H318=""),"",LET(hs,XLOOKUP(C318,'Jogos_MataMata'!$A$2:$A$33,'Jogos_MataMata'!$O$2:$O$33,""),as,XLOOKUP(C318,'Jogos_MataMata'!$A$2:$A$33,'Jogos_MataMata'!$P$2:$P$33,""),win,XLOOKUP(C318,'Jogos_MataMata'!$A$2:$A$33,'Jogos_MataMata'!$Q$2:$Q$33,""),predWin,IF(G318&gt;H318,E318,IF(H318&gt;G318,F318,"")),IF(OR(hs="",as="",win=""),"",IF(predWin=win,IF(ABS(G318-H318)=ABS(hs-as),8,3),0))))</x:f>
      </x:c>
    </x:row>
    <x:row r="319">
      <x:c r="A319" s="21" t="str"/>
      <x:c r="B319" s="22" t="str"/>
      <x:c r="C319" s="22" t="str"/>
      <x:c r="D319" s="22" t="str">
        <x:f>IF(C319="","",XLOOKUP(C319,'Jogos_MataMata'!$A$2:$A$33,'Jogos_MataMata'!$B$2:$B$33,""))</x:f>
      </x:c>
      <x:c r="E319" s="22" t="str">
        <x:f>IF(C319="","",XLOOKUP(C319,'Jogos_MataMata'!$A$2:$A$33,'Jogos_MataMata'!$J$2:$J$33,""))</x:f>
      </x:c>
      <x:c r="F319" s="22" t="str">
        <x:f>IF(C319="","",XLOOKUP(C319,'Jogos_MataMata'!$A$2:$A$33,'Jogos_MataMata'!$K$2:$K$33,""))</x:f>
      </x:c>
      <x:c r="G319" s="22" t="str"/>
      <x:c r="H319" s="22" t="str"/>
      <x:c r="I319" s="22" t="str">
        <x:f>IF(AND(G319&lt;&gt;"",H319&lt;&gt;""),"SIM","NAO")</x:f>
        <x:v>NAO</x:v>
      </x:c>
      <x:c r="J319" s="23" t="str">
        <x:f>IF(OR(C319="",G319="",H319=""),"",LET(hs,XLOOKUP(C319,'Jogos_MataMata'!$A$2:$A$33,'Jogos_MataMata'!$O$2:$O$33,""),as,XLOOKUP(C319,'Jogos_MataMata'!$A$2:$A$33,'Jogos_MataMata'!$P$2:$P$33,""),win,XLOOKUP(C319,'Jogos_MataMata'!$A$2:$A$33,'Jogos_MataMata'!$Q$2:$Q$33,""),predWin,IF(G319&gt;H319,E319,IF(H319&gt;G319,F319,"")),IF(OR(hs="",as="",win=""),"",IF(predWin=win,IF(ABS(G319-H319)=ABS(hs-as),8,3),0))))</x:f>
      </x:c>
    </x:row>
    <x:row r="320">
      <x:c r="A320" s="21" t="str"/>
      <x:c r="B320" s="22" t="str"/>
      <x:c r="C320" s="22" t="str"/>
      <x:c r="D320" s="22" t="str">
        <x:f>IF(C320="","",XLOOKUP(C320,'Jogos_MataMata'!$A$2:$A$33,'Jogos_MataMata'!$B$2:$B$33,""))</x:f>
      </x:c>
      <x:c r="E320" s="22" t="str">
        <x:f>IF(C320="","",XLOOKUP(C320,'Jogos_MataMata'!$A$2:$A$33,'Jogos_MataMata'!$J$2:$J$33,""))</x:f>
      </x:c>
      <x:c r="F320" s="22" t="str">
        <x:f>IF(C320="","",XLOOKUP(C320,'Jogos_MataMata'!$A$2:$A$33,'Jogos_MataMata'!$K$2:$K$33,""))</x:f>
      </x:c>
      <x:c r="G320" s="22" t="str"/>
      <x:c r="H320" s="22" t="str"/>
      <x:c r="I320" s="22" t="str">
        <x:f>IF(AND(G320&lt;&gt;"",H320&lt;&gt;""),"SIM","NAO")</x:f>
        <x:v>NAO</x:v>
      </x:c>
      <x:c r="J320" s="23" t="str">
        <x:f>IF(OR(C320="",G320="",H320=""),"",LET(hs,XLOOKUP(C320,'Jogos_MataMata'!$A$2:$A$33,'Jogos_MataMata'!$O$2:$O$33,""),as,XLOOKUP(C320,'Jogos_MataMata'!$A$2:$A$33,'Jogos_MataMata'!$P$2:$P$33,""),win,XLOOKUP(C320,'Jogos_MataMata'!$A$2:$A$33,'Jogos_MataMata'!$Q$2:$Q$33,""),predWin,IF(G320&gt;H320,E320,IF(H320&gt;G320,F320,"")),IF(OR(hs="",as="",win=""),"",IF(predWin=win,IF(ABS(G320-H320)=ABS(hs-as),8,3),0))))</x:f>
      </x:c>
    </x:row>
    <x:row r="321">
      <x:c r="A321" s="21" t="str"/>
      <x:c r="B321" s="22" t="str"/>
      <x:c r="C321" s="22" t="str"/>
      <x:c r="D321" s="22" t="str">
        <x:f>IF(C321="","",XLOOKUP(C321,'Jogos_MataMata'!$A$2:$A$33,'Jogos_MataMata'!$B$2:$B$33,""))</x:f>
      </x:c>
      <x:c r="E321" s="22" t="str">
        <x:f>IF(C321="","",XLOOKUP(C321,'Jogos_MataMata'!$A$2:$A$33,'Jogos_MataMata'!$J$2:$J$33,""))</x:f>
      </x:c>
      <x:c r="F321" s="22" t="str">
        <x:f>IF(C321="","",XLOOKUP(C321,'Jogos_MataMata'!$A$2:$A$33,'Jogos_MataMata'!$K$2:$K$33,""))</x:f>
      </x:c>
      <x:c r="G321" s="22" t="str"/>
      <x:c r="H321" s="22" t="str"/>
      <x:c r="I321" s="22" t="str">
        <x:f>IF(AND(G321&lt;&gt;"",H321&lt;&gt;""),"SIM","NAO")</x:f>
        <x:v>NAO</x:v>
      </x:c>
      <x:c r="J321" s="23" t="str">
        <x:f>IF(OR(C321="",G321="",H321=""),"",LET(hs,XLOOKUP(C321,'Jogos_MataMata'!$A$2:$A$33,'Jogos_MataMata'!$O$2:$O$33,""),as,XLOOKUP(C321,'Jogos_MataMata'!$A$2:$A$33,'Jogos_MataMata'!$P$2:$P$33,""),win,XLOOKUP(C321,'Jogos_MataMata'!$A$2:$A$33,'Jogos_MataMata'!$Q$2:$Q$33,""),predWin,IF(G321&gt;H321,E321,IF(H321&gt;G321,F321,"")),IF(OR(hs="",as="",win=""),"",IF(predWin=win,IF(ABS(G321-H321)=ABS(hs-as),8,3),0))))</x:f>
      </x:c>
    </x:row>
    <x:row r="322">
      <x:c r="A322" s="21" t="str"/>
      <x:c r="B322" s="22" t="str"/>
      <x:c r="C322" s="22" t="str"/>
      <x:c r="D322" s="22" t="str">
        <x:f>IF(C322="","",XLOOKUP(C322,'Jogos_MataMata'!$A$2:$A$33,'Jogos_MataMata'!$B$2:$B$33,""))</x:f>
      </x:c>
      <x:c r="E322" s="22" t="str">
        <x:f>IF(C322="","",XLOOKUP(C322,'Jogos_MataMata'!$A$2:$A$33,'Jogos_MataMata'!$J$2:$J$33,""))</x:f>
      </x:c>
      <x:c r="F322" s="22" t="str">
        <x:f>IF(C322="","",XLOOKUP(C322,'Jogos_MataMata'!$A$2:$A$33,'Jogos_MataMata'!$K$2:$K$33,""))</x:f>
      </x:c>
      <x:c r="G322" s="22" t="str"/>
      <x:c r="H322" s="22" t="str"/>
      <x:c r="I322" s="22" t="str">
        <x:f>IF(AND(G322&lt;&gt;"",H322&lt;&gt;""),"SIM","NAO")</x:f>
        <x:v>NAO</x:v>
      </x:c>
      <x:c r="J322" s="23" t="str">
        <x:f>IF(OR(C322="",G322="",H322=""),"",LET(hs,XLOOKUP(C322,'Jogos_MataMata'!$A$2:$A$33,'Jogos_MataMata'!$O$2:$O$33,""),as,XLOOKUP(C322,'Jogos_MataMata'!$A$2:$A$33,'Jogos_MataMata'!$P$2:$P$33,""),win,XLOOKUP(C322,'Jogos_MataMata'!$A$2:$A$33,'Jogos_MataMata'!$Q$2:$Q$33,""),predWin,IF(G322&gt;H322,E322,IF(H322&gt;G322,F322,"")),IF(OR(hs="",as="",win=""),"",IF(predWin=win,IF(ABS(G322-H322)=ABS(hs-as),8,3),0))))</x:f>
      </x:c>
    </x:row>
    <x:row r="323">
      <x:c r="A323" s="21" t="str"/>
      <x:c r="B323" s="22" t="str"/>
      <x:c r="C323" s="22" t="str"/>
      <x:c r="D323" s="22" t="str">
        <x:f>IF(C323="","",XLOOKUP(C323,'Jogos_MataMata'!$A$2:$A$33,'Jogos_MataMata'!$B$2:$B$33,""))</x:f>
      </x:c>
      <x:c r="E323" s="22" t="str">
        <x:f>IF(C323="","",XLOOKUP(C323,'Jogos_MataMata'!$A$2:$A$33,'Jogos_MataMata'!$J$2:$J$33,""))</x:f>
      </x:c>
      <x:c r="F323" s="22" t="str">
        <x:f>IF(C323="","",XLOOKUP(C323,'Jogos_MataMata'!$A$2:$A$33,'Jogos_MataMata'!$K$2:$K$33,""))</x:f>
      </x:c>
      <x:c r="G323" s="22" t="str"/>
      <x:c r="H323" s="22" t="str"/>
      <x:c r="I323" s="22" t="str">
        <x:f>IF(AND(G323&lt;&gt;"",H323&lt;&gt;""),"SIM","NAO")</x:f>
        <x:v>NAO</x:v>
      </x:c>
      <x:c r="J323" s="23" t="str">
        <x:f>IF(OR(C323="",G323="",H323=""),"",LET(hs,XLOOKUP(C323,'Jogos_MataMata'!$A$2:$A$33,'Jogos_MataMata'!$O$2:$O$33,""),as,XLOOKUP(C323,'Jogos_MataMata'!$A$2:$A$33,'Jogos_MataMata'!$P$2:$P$33,""),win,XLOOKUP(C323,'Jogos_MataMata'!$A$2:$A$33,'Jogos_MataMata'!$Q$2:$Q$33,""),predWin,IF(G323&gt;H323,E323,IF(H323&gt;G323,F323,"")),IF(OR(hs="",as="",win=""),"",IF(predWin=win,IF(ABS(G323-H323)=ABS(hs-as),8,3),0))))</x:f>
      </x:c>
    </x:row>
    <x:row r="324">
      <x:c r="A324" s="21" t="str"/>
      <x:c r="B324" s="22" t="str"/>
      <x:c r="C324" s="22" t="str"/>
      <x:c r="D324" s="22" t="str">
        <x:f>IF(C324="","",XLOOKUP(C324,'Jogos_MataMata'!$A$2:$A$33,'Jogos_MataMata'!$B$2:$B$33,""))</x:f>
      </x:c>
      <x:c r="E324" s="22" t="str">
        <x:f>IF(C324="","",XLOOKUP(C324,'Jogos_MataMata'!$A$2:$A$33,'Jogos_MataMata'!$J$2:$J$33,""))</x:f>
      </x:c>
      <x:c r="F324" s="22" t="str">
        <x:f>IF(C324="","",XLOOKUP(C324,'Jogos_MataMata'!$A$2:$A$33,'Jogos_MataMata'!$K$2:$K$33,""))</x:f>
      </x:c>
      <x:c r="G324" s="22" t="str"/>
      <x:c r="H324" s="22" t="str"/>
      <x:c r="I324" s="22" t="str">
        <x:f>IF(AND(G324&lt;&gt;"",H324&lt;&gt;""),"SIM","NAO")</x:f>
        <x:v>NAO</x:v>
      </x:c>
      <x:c r="J324" s="23" t="str">
        <x:f>IF(OR(C324="",G324="",H324=""),"",LET(hs,XLOOKUP(C324,'Jogos_MataMata'!$A$2:$A$33,'Jogos_MataMata'!$O$2:$O$33,""),as,XLOOKUP(C324,'Jogos_MataMata'!$A$2:$A$33,'Jogos_MataMata'!$P$2:$P$33,""),win,XLOOKUP(C324,'Jogos_MataMata'!$A$2:$A$33,'Jogos_MataMata'!$Q$2:$Q$33,""),predWin,IF(G324&gt;H324,E324,IF(H324&gt;G324,F324,"")),IF(OR(hs="",as="",win=""),"",IF(predWin=win,IF(ABS(G324-H324)=ABS(hs-as),8,3),0))))</x:f>
      </x:c>
    </x:row>
    <x:row r="325">
      <x:c r="A325" s="21" t="str"/>
      <x:c r="B325" s="22" t="str"/>
      <x:c r="C325" s="22" t="str"/>
      <x:c r="D325" s="22" t="str">
        <x:f>IF(C325="","",XLOOKUP(C325,'Jogos_MataMata'!$A$2:$A$33,'Jogos_MataMata'!$B$2:$B$33,""))</x:f>
      </x:c>
      <x:c r="E325" s="22" t="str">
        <x:f>IF(C325="","",XLOOKUP(C325,'Jogos_MataMata'!$A$2:$A$33,'Jogos_MataMata'!$J$2:$J$33,""))</x:f>
      </x:c>
      <x:c r="F325" s="22" t="str">
        <x:f>IF(C325="","",XLOOKUP(C325,'Jogos_MataMata'!$A$2:$A$33,'Jogos_MataMata'!$K$2:$K$33,""))</x:f>
      </x:c>
      <x:c r="G325" s="22" t="str"/>
      <x:c r="H325" s="22" t="str"/>
      <x:c r="I325" s="22" t="str">
        <x:f>IF(AND(G325&lt;&gt;"",H325&lt;&gt;""),"SIM","NAO")</x:f>
        <x:v>NAO</x:v>
      </x:c>
      <x:c r="J325" s="23" t="str">
        <x:f>IF(OR(C325="",G325="",H325=""),"",LET(hs,XLOOKUP(C325,'Jogos_MataMata'!$A$2:$A$33,'Jogos_MataMata'!$O$2:$O$33,""),as,XLOOKUP(C325,'Jogos_MataMata'!$A$2:$A$33,'Jogos_MataMata'!$P$2:$P$33,""),win,XLOOKUP(C325,'Jogos_MataMata'!$A$2:$A$33,'Jogos_MataMata'!$Q$2:$Q$33,""),predWin,IF(G325&gt;H325,E325,IF(H325&gt;G325,F325,"")),IF(OR(hs="",as="",win=""),"",IF(predWin=win,IF(ABS(G325-H325)=ABS(hs-as),8,3),0))))</x:f>
      </x:c>
    </x:row>
    <x:row r="326">
      <x:c r="A326" s="21" t="str"/>
      <x:c r="B326" s="22" t="str"/>
      <x:c r="C326" s="22" t="str"/>
      <x:c r="D326" s="22" t="str">
        <x:f>IF(C326="","",XLOOKUP(C326,'Jogos_MataMata'!$A$2:$A$33,'Jogos_MataMata'!$B$2:$B$33,""))</x:f>
      </x:c>
      <x:c r="E326" s="22" t="str">
        <x:f>IF(C326="","",XLOOKUP(C326,'Jogos_MataMata'!$A$2:$A$33,'Jogos_MataMata'!$J$2:$J$33,""))</x:f>
      </x:c>
      <x:c r="F326" s="22" t="str">
        <x:f>IF(C326="","",XLOOKUP(C326,'Jogos_MataMata'!$A$2:$A$33,'Jogos_MataMata'!$K$2:$K$33,""))</x:f>
      </x:c>
      <x:c r="G326" s="22" t="str"/>
      <x:c r="H326" s="22" t="str"/>
      <x:c r="I326" s="22" t="str">
        <x:f>IF(AND(G326&lt;&gt;"",H326&lt;&gt;""),"SIM","NAO")</x:f>
        <x:v>NAO</x:v>
      </x:c>
      <x:c r="J326" s="23" t="str">
        <x:f>IF(OR(C326="",G326="",H326=""),"",LET(hs,XLOOKUP(C326,'Jogos_MataMata'!$A$2:$A$33,'Jogos_MataMata'!$O$2:$O$33,""),as,XLOOKUP(C326,'Jogos_MataMata'!$A$2:$A$33,'Jogos_MataMata'!$P$2:$P$33,""),win,XLOOKUP(C326,'Jogos_MataMata'!$A$2:$A$33,'Jogos_MataMata'!$Q$2:$Q$33,""),predWin,IF(G326&gt;H326,E326,IF(H326&gt;G326,F326,"")),IF(OR(hs="",as="",win=""),"",IF(predWin=win,IF(ABS(G326-H326)=ABS(hs-as),8,3),0))))</x:f>
      </x:c>
    </x:row>
    <x:row r="327">
      <x:c r="A327" s="21" t="str"/>
      <x:c r="B327" s="22" t="str"/>
      <x:c r="C327" s="22" t="str"/>
      <x:c r="D327" s="22" t="str">
        <x:f>IF(C327="","",XLOOKUP(C327,'Jogos_MataMata'!$A$2:$A$33,'Jogos_MataMata'!$B$2:$B$33,""))</x:f>
      </x:c>
      <x:c r="E327" s="22" t="str">
        <x:f>IF(C327="","",XLOOKUP(C327,'Jogos_MataMata'!$A$2:$A$33,'Jogos_MataMata'!$J$2:$J$33,""))</x:f>
      </x:c>
      <x:c r="F327" s="22" t="str">
        <x:f>IF(C327="","",XLOOKUP(C327,'Jogos_MataMata'!$A$2:$A$33,'Jogos_MataMata'!$K$2:$K$33,""))</x:f>
      </x:c>
      <x:c r="G327" s="22" t="str"/>
      <x:c r="H327" s="22" t="str"/>
      <x:c r="I327" s="22" t="str">
        <x:f>IF(AND(G327&lt;&gt;"",H327&lt;&gt;""),"SIM","NAO")</x:f>
        <x:v>NAO</x:v>
      </x:c>
      <x:c r="J327" s="23" t="str">
        <x:f>IF(OR(C327="",G327="",H327=""),"",LET(hs,XLOOKUP(C327,'Jogos_MataMata'!$A$2:$A$33,'Jogos_MataMata'!$O$2:$O$33,""),as,XLOOKUP(C327,'Jogos_MataMata'!$A$2:$A$33,'Jogos_MataMata'!$P$2:$P$33,""),win,XLOOKUP(C327,'Jogos_MataMata'!$A$2:$A$33,'Jogos_MataMata'!$Q$2:$Q$33,""),predWin,IF(G327&gt;H327,E327,IF(H327&gt;G327,F327,"")),IF(OR(hs="",as="",win=""),"",IF(predWin=win,IF(ABS(G327-H327)=ABS(hs-as),8,3),0))))</x:f>
      </x:c>
    </x:row>
    <x:row r="328">
      <x:c r="A328" s="21" t="str"/>
      <x:c r="B328" s="22" t="str"/>
      <x:c r="C328" s="22" t="str"/>
      <x:c r="D328" s="22" t="str">
        <x:f>IF(C328="","",XLOOKUP(C328,'Jogos_MataMata'!$A$2:$A$33,'Jogos_MataMata'!$B$2:$B$33,""))</x:f>
      </x:c>
      <x:c r="E328" s="22" t="str">
        <x:f>IF(C328="","",XLOOKUP(C328,'Jogos_MataMata'!$A$2:$A$33,'Jogos_MataMata'!$J$2:$J$33,""))</x:f>
      </x:c>
      <x:c r="F328" s="22" t="str">
        <x:f>IF(C328="","",XLOOKUP(C328,'Jogos_MataMata'!$A$2:$A$33,'Jogos_MataMata'!$K$2:$K$33,""))</x:f>
      </x:c>
      <x:c r="G328" s="22" t="str"/>
      <x:c r="H328" s="22" t="str"/>
      <x:c r="I328" s="22" t="str">
        <x:f>IF(AND(G328&lt;&gt;"",H328&lt;&gt;""),"SIM","NAO")</x:f>
        <x:v>NAO</x:v>
      </x:c>
      <x:c r="J328" s="23" t="str">
        <x:f>IF(OR(C328="",G328="",H328=""),"",LET(hs,XLOOKUP(C328,'Jogos_MataMata'!$A$2:$A$33,'Jogos_MataMata'!$O$2:$O$33,""),as,XLOOKUP(C328,'Jogos_MataMata'!$A$2:$A$33,'Jogos_MataMata'!$P$2:$P$33,""),win,XLOOKUP(C328,'Jogos_MataMata'!$A$2:$A$33,'Jogos_MataMata'!$Q$2:$Q$33,""),predWin,IF(G328&gt;H328,E328,IF(H328&gt;G328,F328,"")),IF(OR(hs="",as="",win=""),"",IF(predWin=win,IF(ABS(G328-H328)=ABS(hs-as),8,3),0))))</x:f>
      </x:c>
    </x:row>
    <x:row r="329">
      <x:c r="A329" s="21" t="str"/>
      <x:c r="B329" s="22" t="str"/>
      <x:c r="C329" s="22" t="str"/>
      <x:c r="D329" s="22" t="str">
        <x:f>IF(C329="","",XLOOKUP(C329,'Jogos_MataMata'!$A$2:$A$33,'Jogos_MataMata'!$B$2:$B$33,""))</x:f>
      </x:c>
      <x:c r="E329" s="22" t="str">
        <x:f>IF(C329="","",XLOOKUP(C329,'Jogos_MataMata'!$A$2:$A$33,'Jogos_MataMata'!$J$2:$J$33,""))</x:f>
      </x:c>
      <x:c r="F329" s="22" t="str">
        <x:f>IF(C329="","",XLOOKUP(C329,'Jogos_MataMata'!$A$2:$A$33,'Jogos_MataMata'!$K$2:$K$33,""))</x:f>
      </x:c>
      <x:c r="G329" s="22" t="str"/>
      <x:c r="H329" s="22" t="str"/>
      <x:c r="I329" s="22" t="str">
        <x:f>IF(AND(G329&lt;&gt;"",H329&lt;&gt;""),"SIM","NAO")</x:f>
        <x:v>NAO</x:v>
      </x:c>
      <x:c r="J329" s="23" t="str">
        <x:f>IF(OR(C329="",G329="",H329=""),"",LET(hs,XLOOKUP(C329,'Jogos_MataMata'!$A$2:$A$33,'Jogos_MataMata'!$O$2:$O$33,""),as,XLOOKUP(C329,'Jogos_MataMata'!$A$2:$A$33,'Jogos_MataMata'!$P$2:$P$33,""),win,XLOOKUP(C329,'Jogos_MataMata'!$A$2:$A$33,'Jogos_MataMata'!$Q$2:$Q$33,""),predWin,IF(G329&gt;H329,E329,IF(H329&gt;G329,F329,"")),IF(OR(hs="",as="",win=""),"",IF(predWin=win,IF(ABS(G329-H329)=ABS(hs-as),8,3),0))))</x:f>
      </x:c>
    </x:row>
    <x:row r="330">
      <x:c r="A330" s="21" t="str"/>
      <x:c r="B330" s="22" t="str"/>
      <x:c r="C330" s="22" t="str"/>
      <x:c r="D330" s="22" t="str">
        <x:f>IF(C330="","",XLOOKUP(C330,'Jogos_MataMata'!$A$2:$A$33,'Jogos_MataMata'!$B$2:$B$33,""))</x:f>
      </x:c>
      <x:c r="E330" s="22" t="str">
        <x:f>IF(C330="","",XLOOKUP(C330,'Jogos_MataMata'!$A$2:$A$33,'Jogos_MataMata'!$J$2:$J$33,""))</x:f>
      </x:c>
      <x:c r="F330" s="22" t="str">
        <x:f>IF(C330="","",XLOOKUP(C330,'Jogos_MataMata'!$A$2:$A$33,'Jogos_MataMata'!$K$2:$K$33,""))</x:f>
      </x:c>
      <x:c r="G330" s="22" t="str"/>
      <x:c r="H330" s="22" t="str"/>
      <x:c r="I330" s="22" t="str">
        <x:f>IF(AND(G330&lt;&gt;"",H330&lt;&gt;""),"SIM","NAO")</x:f>
        <x:v>NAO</x:v>
      </x:c>
      <x:c r="J330" s="23" t="str">
        <x:f>IF(OR(C330="",G330="",H330=""),"",LET(hs,XLOOKUP(C330,'Jogos_MataMata'!$A$2:$A$33,'Jogos_MataMata'!$O$2:$O$33,""),as,XLOOKUP(C330,'Jogos_MataMata'!$A$2:$A$33,'Jogos_MataMata'!$P$2:$P$33,""),win,XLOOKUP(C330,'Jogos_MataMata'!$A$2:$A$33,'Jogos_MataMata'!$Q$2:$Q$33,""),predWin,IF(G330&gt;H330,E330,IF(H330&gt;G330,F330,"")),IF(OR(hs="",as="",win=""),"",IF(predWin=win,IF(ABS(G330-H330)=ABS(hs-as),8,3),0))))</x:f>
      </x:c>
    </x:row>
    <x:row r="331">
      <x:c r="A331" s="21" t="str"/>
      <x:c r="B331" s="22" t="str"/>
      <x:c r="C331" s="22" t="str"/>
      <x:c r="D331" s="22" t="str">
        <x:f>IF(C331="","",XLOOKUP(C331,'Jogos_MataMata'!$A$2:$A$33,'Jogos_MataMata'!$B$2:$B$33,""))</x:f>
      </x:c>
      <x:c r="E331" s="22" t="str">
        <x:f>IF(C331="","",XLOOKUP(C331,'Jogos_MataMata'!$A$2:$A$33,'Jogos_MataMata'!$J$2:$J$33,""))</x:f>
      </x:c>
      <x:c r="F331" s="22" t="str">
        <x:f>IF(C331="","",XLOOKUP(C331,'Jogos_MataMata'!$A$2:$A$33,'Jogos_MataMata'!$K$2:$K$33,""))</x:f>
      </x:c>
      <x:c r="G331" s="22" t="str"/>
      <x:c r="H331" s="22" t="str"/>
      <x:c r="I331" s="22" t="str">
        <x:f>IF(AND(G331&lt;&gt;"",H331&lt;&gt;""),"SIM","NAO")</x:f>
        <x:v>NAO</x:v>
      </x:c>
      <x:c r="J331" s="23" t="str">
        <x:f>IF(OR(C331="",G331="",H331=""),"",LET(hs,XLOOKUP(C331,'Jogos_MataMata'!$A$2:$A$33,'Jogos_MataMata'!$O$2:$O$33,""),as,XLOOKUP(C331,'Jogos_MataMata'!$A$2:$A$33,'Jogos_MataMata'!$P$2:$P$33,""),win,XLOOKUP(C331,'Jogos_MataMata'!$A$2:$A$33,'Jogos_MataMata'!$Q$2:$Q$33,""),predWin,IF(G331&gt;H331,E331,IF(H331&gt;G331,F331,"")),IF(OR(hs="",as="",win=""),"",IF(predWin=win,IF(ABS(G331-H331)=ABS(hs-as),8,3),0))))</x:f>
      </x:c>
    </x:row>
    <x:row r="332">
      <x:c r="A332" s="21" t="str"/>
      <x:c r="B332" s="22" t="str"/>
      <x:c r="C332" s="22" t="str"/>
      <x:c r="D332" s="22" t="str">
        <x:f>IF(C332="","",XLOOKUP(C332,'Jogos_MataMata'!$A$2:$A$33,'Jogos_MataMata'!$B$2:$B$33,""))</x:f>
      </x:c>
      <x:c r="E332" s="22" t="str">
        <x:f>IF(C332="","",XLOOKUP(C332,'Jogos_MataMata'!$A$2:$A$33,'Jogos_MataMata'!$J$2:$J$33,""))</x:f>
      </x:c>
      <x:c r="F332" s="22" t="str">
        <x:f>IF(C332="","",XLOOKUP(C332,'Jogos_MataMata'!$A$2:$A$33,'Jogos_MataMata'!$K$2:$K$33,""))</x:f>
      </x:c>
      <x:c r="G332" s="22" t="str"/>
      <x:c r="H332" s="22" t="str"/>
      <x:c r="I332" s="22" t="str">
        <x:f>IF(AND(G332&lt;&gt;"",H332&lt;&gt;""),"SIM","NAO")</x:f>
        <x:v>NAO</x:v>
      </x:c>
      <x:c r="J332" s="23" t="str">
        <x:f>IF(OR(C332="",G332="",H332=""),"",LET(hs,XLOOKUP(C332,'Jogos_MataMata'!$A$2:$A$33,'Jogos_MataMata'!$O$2:$O$33,""),as,XLOOKUP(C332,'Jogos_MataMata'!$A$2:$A$33,'Jogos_MataMata'!$P$2:$P$33,""),win,XLOOKUP(C332,'Jogos_MataMata'!$A$2:$A$33,'Jogos_MataMata'!$Q$2:$Q$33,""),predWin,IF(G332&gt;H332,E332,IF(H332&gt;G332,F332,"")),IF(OR(hs="",as="",win=""),"",IF(predWin=win,IF(ABS(G332-H332)=ABS(hs-as),8,3),0))))</x:f>
      </x:c>
    </x:row>
    <x:row r="333">
      <x:c r="A333" s="21" t="str"/>
      <x:c r="B333" s="22" t="str"/>
      <x:c r="C333" s="22" t="str"/>
      <x:c r="D333" s="22" t="str">
        <x:f>IF(C333="","",XLOOKUP(C333,'Jogos_MataMata'!$A$2:$A$33,'Jogos_MataMata'!$B$2:$B$33,""))</x:f>
      </x:c>
      <x:c r="E333" s="22" t="str">
        <x:f>IF(C333="","",XLOOKUP(C333,'Jogos_MataMata'!$A$2:$A$33,'Jogos_MataMata'!$J$2:$J$33,""))</x:f>
      </x:c>
      <x:c r="F333" s="22" t="str">
        <x:f>IF(C333="","",XLOOKUP(C333,'Jogos_MataMata'!$A$2:$A$33,'Jogos_MataMata'!$K$2:$K$33,""))</x:f>
      </x:c>
      <x:c r="G333" s="22" t="str"/>
      <x:c r="H333" s="22" t="str"/>
      <x:c r="I333" s="22" t="str">
        <x:f>IF(AND(G333&lt;&gt;"",H333&lt;&gt;""),"SIM","NAO")</x:f>
        <x:v>NAO</x:v>
      </x:c>
      <x:c r="J333" s="23" t="str">
        <x:f>IF(OR(C333="",G333="",H333=""),"",LET(hs,XLOOKUP(C333,'Jogos_MataMata'!$A$2:$A$33,'Jogos_MataMata'!$O$2:$O$33,""),as,XLOOKUP(C333,'Jogos_MataMata'!$A$2:$A$33,'Jogos_MataMata'!$P$2:$P$33,""),win,XLOOKUP(C333,'Jogos_MataMata'!$A$2:$A$33,'Jogos_MataMata'!$Q$2:$Q$33,""),predWin,IF(G333&gt;H333,E333,IF(H333&gt;G333,F333,"")),IF(OR(hs="",as="",win=""),"",IF(predWin=win,IF(ABS(G333-H333)=ABS(hs-as),8,3),0))))</x:f>
      </x:c>
    </x:row>
    <x:row r="334">
      <x:c r="A334" s="21" t="str"/>
      <x:c r="B334" s="22" t="str"/>
      <x:c r="C334" s="22" t="str"/>
      <x:c r="D334" s="22" t="str">
        <x:f>IF(C334="","",XLOOKUP(C334,'Jogos_MataMata'!$A$2:$A$33,'Jogos_MataMata'!$B$2:$B$33,""))</x:f>
      </x:c>
      <x:c r="E334" s="22" t="str">
        <x:f>IF(C334="","",XLOOKUP(C334,'Jogos_MataMata'!$A$2:$A$33,'Jogos_MataMata'!$J$2:$J$33,""))</x:f>
      </x:c>
      <x:c r="F334" s="22" t="str">
        <x:f>IF(C334="","",XLOOKUP(C334,'Jogos_MataMata'!$A$2:$A$33,'Jogos_MataMata'!$K$2:$K$33,""))</x:f>
      </x:c>
      <x:c r="G334" s="22" t="str"/>
      <x:c r="H334" s="22" t="str"/>
      <x:c r="I334" s="22" t="str">
        <x:f>IF(AND(G334&lt;&gt;"",H334&lt;&gt;""),"SIM","NAO")</x:f>
        <x:v>NAO</x:v>
      </x:c>
      <x:c r="J334" s="23" t="str">
        <x:f>IF(OR(C334="",G334="",H334=""),"",LET(hs,XLOOKUP(C334,'Jogos_MataMata'!$A$2:$A$33,'Jogos_MataMata'!$O$2:$O$33,""),as,XLOOKUP(C334,'Jogos_MataMata'!$A$2:$A$33,'Jogos_MataMata'!$P$2:$P$33,""),win,XLOOKUP(C334,'Jogos_MataMata'!$A$2:$A$33,'Jogos_MataMata'!$Q$2:$Q$33,""),predWin,IF(G334&gt;H334,E334,IF(H334&gt;G334,F334,"")),IF(OR(hs="",as="",win=""),"",IF(predWin=win,IF(ABS(G334-H334)=ABS(hs-as),8,3),0))))</x:f>
      </x:c>
    </x:row>
    <x:row r="335">
      <x:c r="A335" s="21" t="str"/>
      <x:c r="B335" s="22" t="str"/>
      <x:c r="C335" s="22" t="str"/>
      <x:c r="D335" s="22" t="str">
        <x:f>IF(C335="","",XLOOKUP(C335,'Jogos_MataMata'!$A$2:$A$33,'Jogos_MataMata'!$B$2:$B$33,""))</x:f>
      </x:c>
      <x:c r="E335" s="22" t="str">
        <x:f>IF(C335="","",XLOOKUP(C335,'Jogos_MataMata'!$A$2:$A$33,'Jogos_MataMata'!$J$2:$J$33,""))</x:f>
      </x:c>
      <x:c r="F335" s="22" t="str">
        <x:f>IF(C335="","",XLOOKUP(C335,'Jogos_MataMata'!$A$2:$A$33,'Jogos_MataMata'!$K$2:$K$33,""))</x:f>
      </x:c>
      <x:c r="G335" s="22" t="str"/>
      <x:c r="H335" s="22" t="str"/>
      <x:c r="I335" s="22" t="str">
        <x:f>IF(AND(G335&lt;&gt;"",H335&lt;&gt;""),"SIM","NAO")</x:f>
        <x:v>NAO</x:v>
      </x:c>
      <x:c r="J335" s="23" t="str">
        <x:f>IF(OR(C335="",G335="",H335=""),"",LET(hs,XLOOKUP(C335,'Jogos_MataMata'!$A$2:$A$33,'Jogos_MataMata'!$O$2:$O$33,""),as,XLOOKUP(C335,'Jogos_MataMata'!$A$2:$A$33,'Jogos_MataMata'!$P$2:$P$33,""),win,XLOOKUP(C335,'Jogos_MataMata'!$A$2:$A$33,'Jogos_MataMata'!$Q$2:$Q$33,""),predWin,IF(G335&gt;H335,E335,IF(H335&gt;G335,F335,"")),IF(OR(hs="",as="",win=""),"",IF(predWin=win,IF(ABS(G335-H335)=ABS(hs-as),8,3),0))))</x:f>
      </x:c>
    </x:row>
    <x:row r="336">
      <x:c r="A336" s="21" t="str"/>
      <x:c r="B336" s="22" t="str"/>
      <x:c r="C336" s="22" t="str"/>
      <x:c r="D336" s="22" t="str">
        <x:f>IF(C336="","",XLOOKUP(C336,'Jogos_MataMata'!$A$2:$A$33,'Jogos_MataMata'!$B$2:$B$33,""))</x:f>
      </x:c>
      <x:c r="E336" s="22" t="str">
        <x:f>IF(C336="","",XLOOKUP(C336,'Jogos_MataMata'!$A$2:$A$33,'Jogos_MataMata'!$J$2:$J$33,""))</x:f>
      </x:c>
      <x:c r="F336" s="22" t="str">
        <x:f>IF(C336="","",XLOOKUP(C336,'Jogos_MataMata'!$A$2:$A$33,'Jogos_MataMata'!$K$2:$K$33,""))</x:f>
      </x:c>
      <x:c r="G336" s="22" t="str"/>
      <x:c r="H336" s="22" t="str"/>
      <x:c r="I336" s="22" t="str">
        <x:f>IF(AND(G336&lt;&gt;"",H336&lt;&gt;""),"SIM","NAO")</x:f>
        <x:v>NAO</x:v>
      </x:c>
      <x:c r="J336" s="23" t="str">
        <x:f>IF(OR(C336="",G336="",H336=""),"",LET(hs,XLOOKUP(C336,'Jogos_MataMata'!$A$2:$A$33,'Jogos_MataMata'!$O$2:$O$33,""),as,XLOOKUP(C336,'Jogos_MataMata'!$A$2:$A$33,'Jogos_MataMata'!$P$2:$P$33,""),win,XLOOKUP(C336,'Jogos_MataMata'!$A$2:$A$33,'Jogos_MataMata'!$Q$2:$Q$33,""),predWin,IF(G336&gt;H336,E336,IF(H336&gt;G336,F336,"")),IF(OR(hs="",as="",win=""),"",IF(predWin=win,IF(ABS(G336-H336)=ABS(hs-as),8,3),0))))</x:f>
      </x:c>
    </x:row>
    <x:row r="337">
      <x:c r="A337" s="21" t="str"/>
      <x:c r="B337" s="22" t="str"/>
      <x:c r="C337" s="22" t="str"/>
      <x:c r="D337" s="22" t="str">
        <x:f>IF(C337="","",XLOOKUP(C337,'Jogos_MataMata'!$A$2:$A$33,'Jogos_MataMata'!$B$2:$B$33,""))</x:f>
      </x:c>
      <x:c r="E337" s="22" t="str">
        <x:f>IF(C337="","",XLOOKUP(C337,'Jogos_MataMata'!$A$2:$A$33,'Jogos_MataMata'!$J$2:$J$33,""))</x:f>
      </x:c>
      <x:c r="F337" s="22" t="str">
        <x:f>IF(C337="","",XLOOKUP(C337,'Jogos_MataMata'!$A$2:$A$33,'Jogos_MataMata'!$K$2:$K$33,""))</x:f>
      </x:c>
      <x:c r="G337" s="22" t="str"/>
      <x:c r="H337" s="22" t="str"/>
      <x:c r="I337" s="22" t="str">
        <x:f>IF(AND(G337&lt;&gt;"",H337&lt;&gt;""),"SIM","NAO")</x:f>
        <x:v>NAO</x:v>
      </x:c>
      <x:c r="J337" s="23" t="str">
        <x:f>IF(OR(C337="",G337="",H337=""),"",LET(hs,XLOOKUP(C337,'Jogos_MataMata'!$A$2:$A$33,'Jogos_MataMata'!$O$2:$O$33,""),as,XLOOKUP(C337,'Jogos_MataMata'!$A$2:$A$33,'Jogos_MataMata'!$P$2:$P$33,""),win,XLOOKUP(C337,'Jogos_MataMata'!$A$2:$A$33,'Jogos_MataMata'!$Q$2:$Q$33,""),predWin,IF(G337&gt;H337,E337,IF(H337&gt;G337,F337,"")),IF(OR(hs="",as="",win=""),"",IF(predWin=win,IF(ABS(G337-H337)=ABS(hs-as),8,3),0))))</x:f>
      </x:c>
    </x:row>
    <x:row r="338">
      <x:c r="A338" s="21" t="str"/>
      <x:c r="B338" s="22" t="str"/>
      <x:c r="C338" s="22" t="str"/>
      <x:c r="D338" s="22" t="str">
        <x:f>IF(C338="","",XLOOKUP(C338,'Jogos_MataMata'!$A$2:$A$33,'Jogos_MataMata'!$B$2:$B$33,""))</x:f>
      </x:c>
      <x:c r="E338" s="22" t="str">
        <x:f>IF(C338="","",XLOOKUP(C338,'Jogos_MataMata'!$A$2:$A$33,'Jogos_MataMata'!$J$2:$J$33,""))</x:f>
      </x:c>
      <x:c r="F338" s="22" t="str">
        <x:f>IF(C338="","",XLOOKUP(C338,'Jogos_MataMata'!$A$2:$A$33,'Jogos_MataMata'!$K$2:$K$33,""))</x:f>
      </x:c>
      <x:c r="G338" s="22" t="str"/>
      <x:c r="H338" s="22" t="str"/>
      <x:c r="I338" s="22" t="str">
        <x:f>IF(AND(G338&lt;&gt;"",H338&lt;&gt;""),"SIM","NAO")</x:f>
        <x:v>NAO</x:v>
      </x:c>
      <x:c r="J338" s="23" t="str">
        <x:f>IF(OR(C338="",G338="",H338=""),"",LET(hs,XLOOKUP(C338,'Jogos_MataMata'!$A$2:$A$33,'Jogos_MataMata'!$O$2:$O$33,""),as,XLOOKUP(C338,'Jogos_MataMata'!$A$2:$A$33,'Jogos_MataMata'!$P$2:$P$33,""),win,XLOOKUP(C338,'Jogos_MataMata'!$A$2:$A$33,'Jogos_MataMata'!$Q$2:$Q$33,""),predWin,IF(G338&gt;H338,E338,IF(H338&gt;G338,F338,"")),IF(OR(hs="",as="",win=""),"",IF(predWin=win,IF(ABS(G338-H338)=ABS(hs-as),8,3),0))))</x:f>
      </x:c>
    </x:row>
    <x:row r="339">
      <x:c r="A339" s="21" t="str"/>
      <x:c r="B339" s="22" t="str"/>
      <x:c r="C339" s="22" t="str"/>
      <x:c r="D339" s="22" t="str">
        <x:f>IF(C339="","",XLOOKUP(C339,'Jogos_MataMata'!$A$2:$A$33,'Jogos_MataMata'!$B$2:$B$33,""))</x:f>
      </x:c>
      <x:c r="E339" s="22" t="str">
        <x:f>IF(C339="","",XLOOKUP(C339,'Jogos_MataMata'!$A$2:$A$33,'Jogos_MataMata'!$J$2:$J$33,""))</x:f>
      </x:c>
      <x:c r="F339" s="22" t="str">
        <x:f>IF(C339="","",XLOOKUP(C339,'Jogos_MataMata'!$A$2:$A$33,'Jogos_MataMata'!$K$2:$K$33,""))</x:f>
      </x:c>
      <x:c r="G339" s="22" t="str"/>
      <x:c r="H339" s="22" t="str"/>
      <x:c r="I339" s="22" t="str">
        <x:f>IF(AND(G339&lt;&gt;"",H339&lt;&gt;""),"SIM","NAO")</x:f>
        <x:v>NAO</x:v>
      </x:c>
      <x:c r="J339" s="23" t="str">
        <x:f>IF(OR(C339="",G339="",H339=""),"",LET(hs,XLOOKUP(C339,'Jogos_MataMata'!$A$2:$A$33,'Jogos_MataMata'!$O$2:$O$33,""),as,XLOOKUP(C339,'Jogos_MataMata'!$A$2:$A$33,'Jogos_MataMata'!$P$2:$P$33,""),win,XLOOKUP(C339,'Jogos_MataMata'!$A$2:$A$33,'Jogos_MataMata'!$Q$2:$Q$33,""),predWin,IF(G339&gt;H339,E339,IF(H339&gt;G339,F339,"")),IF(OR(hs="",as="",win=""),"",IF(predWin=win,IF(ABS(G339-H339)=ABS(hs-as),8,3),0))))</x:f>
      </x:c>
    </x:row>
    <x:row r="340">
      <x:c r="A340" s="21" t="str"/>
      <x:c r="B340" s="22" t="str"/>
      <x:c r="C340" s="22" t="str"/>
      <x:c r="D340" s="22" t="str">
        <x:f>IF(C340="","",XLOOKUP(C340,'Jogos_MataMata'!$A$2:$A$33,'Jogos_MataMata'!$B$2:$B$33,""))</x:f>
      </x:c>
      <x:c r="E340" s="22" t="str">
        <x:f>IF(C340="","",XLOOKUP(C340,'Jogos_MataMata'!$A$2:$A$33,'Jogos_MataMata'!$J$2:$J$33,""))</x:f>
      </x:c>
      <x:c r="F340" s="22" t="str">
        <x:f>IF(C340="","",XLOOKUP(C340,'Jogos_MataMata'!$A$2:$A$33,'Jogos_MataMata'!$K$2:$K$33,""))</x:f>
      </x:c>
      <x:c r="G340" s="22" t="str"/>
      <x:c r="H340" s="22" t="str"/>
      <x:c r="I340" s="22" t="str">
        <x:f>IF(AND(G340&lt;&gt;"",H340&lt;&gt;""),"SIM","NAO")</x:f>
        <x:v>NAO</x:v>
      </x:c>
      <x:c r="J340" s="23" t="str">
        <x:f>IF(OR(C340="",G340="",H340=""),"",LET(hs,XLOOKUP(C340,'Jogos_MataMata'!$A$2:$A$33,'Jogos_MataMata'!$O$2:$O$33,""),as,XLOOKUP(C340,'Jogos_MataMata'!$A$2:$A$33,'Jogos_MataMata'!$P$2:$P$33,""),win,XLOOKUP(C340,'Jogos_MataMata'!$A$2:$A$33,'Jogos_MataMata'!$Q$2:$Q$33,""),predWin,IF(G340&gt;H340,E340,IF(H340&gt;G340,F340,"")),IF(OR(hs="",as="",win=""),"",IF(predWin=win,IF(ABS(G340-H340)=ABS(hs-as),8,3),0))))</x:f>
      </x:c>
    </x:row>
    <x:row r="341">
      <x:c r="A341" s="21" t="str"/>
      <x:c r="B341" s="22" t="str"/>
      <x:c r="C341" s="22" t="str"/>
      <x:c r="D341" s="22" t="str">
        <x:f>IF(C341="","",XLOOKUP(C341,'Jogos_MataMata'!$A$2:$A$33,'Jogos_MataMata'!$B$2:$B$33,""))</x:f>
      </x:c>
      <x:c r="E341" s="22" t="str">
        <x:f>IF(C341="","",XLOOKUP(C341,'Jogos_MataMata'!$A$2:$A$33,'Jogos_MataMata'!$J$2:$J$33,""))</x:f>
      </x:c>
      <x:c r="F341" s="22" t="str">
        <x:f>IF(C341="","",XLOOKUP(C341,'Jogos_MataMata'!$A$2:$A$33,'Jogos_MataMata'!$K$2:$K$33,""))</x:f>
      </x:c>
      <x:c r="G341" s="22" t="str"/>
      <x:c r="H341" s="22" t="str"/>
      <x:c r="I341" s="22" t="str">
        <x:f>IF(AND(G341&lt;&gt;"",H341&lt;&gt;""),"SIM","NAO")</x:f>
        <x:v>NAO</x:v>
      </x:c>
      <x:c r="J341" s="23" t="str">
        <x:f>IF(OR(C341="",G341="",H341=""),"",LET(hs,XLOOKUP(C341,'Jogos_MataMata'!$A$2:$A$33,'Jogos_MataMata'!$O$2:$O$33,""),as,XLOOKUP(C341,'Jogos_MataMata'!$A$2:$A$33,'Jogos_MataMata'!$P$2:$P$33,""),win,XLOOKUP(C341,'Jogos_MataMata'!$A$2:$A$33,'Jogos_MataMata'!$Q$2:$Q$33,""),predWin,IF(G341&gt;H341,E341,IF(H341&gt;G341,F341,"")),IF(OR(hs="",as="",win=""),"",IF(predWin=win,IF(ABS(G341-H341)=ABS(hs-as),8,3),0))))</x:f>
      </x:c>
    </x:row>
    <x:row r="342">
      <x:c r="A342" s="21" t="str"/>
      <x:c r="B342" s="22" t="str"/>
      <x:c r="C342" s="22" t="str"/>
      <x:c r="D342" s="22" t="str">
        <x:f>IF(C342="","",XLOOKUP(C342,'Jogos_MataMata'!$A$2:$A$33,'Jogos_MataMata'!$B$2:$B$33,""))</x:f>
      </x:c>
      <x:c r="E342" s="22" t="str">
        <x:f>IF(C342="","",XLOOKUP(C342,'Jogos_MataMata'!$A$2:$A$33,'Jogos_MataMata'!$J$2:$J$33,""))</x:f>
      </x:c>
      <x:c r="F342" s="22" t="str">
        <x:f>IF(C342="","",XLOOKUP(C342,'Jogos_MataMata'!$A$2:$A$33,'Jogos_MataMata'!$K$2:$K$33,""))</x:f>
      </x:c>
      <x:c r="G342" s="22" t="str"/>
      <x:c r="H342" s="22" t="str"/>
      <x:c r="I342" s="22" t="str">
        <x:f>IF(AND(G342&lt;&gt;"",H342&lt;&gt;""),"SIM","NAO")</x:f>
        <x:v>NAO</x:v>
      </x:c>
      <x:c r="J342" s="23" t="str">
        <x:f>IF(OR(C342="",G342="",H342=""),"",LET(hs,XLOOKUP(C342,'Jogos_MataMata'!$A$2:$A$33,'Jogos_MataMata'!$O$2:$O$33,""),as,XLOOKUP(C342,'Jogos_MataMata'!$A$2:$A$33,'Jogos_MataMata'!$P$2:$P$33,""),win,XLOOKUP(C342,'Jogos_MataMata'!$A$2:$A$33,'Jogos_MataMata'!$Q$2:$Q$33,""),predWin,IF(G342&gt;H342,E342,IF(H342&gt;G342,F342,"")),IF(OR(hs="",as="",win=""),"",IF(predWin=win,IF(ABS(G342-H342)=ABS(hs-as),8,3),0))))</x:f>
      </x:c>
    </x:row>
    <x:row r="343">
      <x:c r="A343" s="21" t="str"/>
      <x:c r="B343" s="22" t="str"/>
      <x:c r="C343" s="22" t="str"/>
      <x:c r="D343" s="22" t="str">
        <x:f>IF(C343="","",XLOOKUP(C343,'Jogos_MataMata'!$A$2:$A$33,'Jogos_MataMata'!$B$2:$B$33,""))</x:f>
      </x:c>
      <x:c r="E343" s="22" t="str">
        <x:f>IF(C343="","",XLOOKUP(C343,'Jogos_MataMata'!$A$2:$A$33,'Jogos_MataMata'!$J$2:$J$33,""))</x:f>
      </x:c>
      <x:c r="F343" s="22" t="str">
        <x:f>IF(C343="","",XLOOKUP(C343,'Jogos_MataMata'!$A$2:$A$33,'Jogos_MataMata'!$K$2:$K$33,""))</x:f>
      </x:c>
      <x:c r="G343" s="22" t="str"/>
      <x:c r="H343" s="22" t="str"/>
      <x:c r="I343" s="22" t="str">
        <x:f>IF(AND(G343&lt;&gt;"",H343&lt;&gt;""),"SIM","NAO")</x:f>
        <x:v>NAO</x:v>
      </x:c>
      <x:c r="J343" s="23" t="str">
        <x:f>IF(OR(C343="",G343="",H343=""),"",LET(hs,XLOOKUP(C343,'Jogos_MataMata'!$A$2:$A$33,'Jogos_MataMata'!$O$2:$O$33,""),as,XLOOKUP(C343,'Jogos_MataMata'!$A$2:$A$33,'Jogos_MataMata'!$P$2:$P$33,""),win,XLOOKUP(C343,'Jogos_MataMata'!$A$2:$A$33,'Jogos_MataMata'!$Q$2:$Q$33,""),predWin,IF(G343&gt;H343,E343,IF(H343&gt;G343,F343,"")),IF(OR(hs="",as="",win=""),"",IF(predWin=win,IF(ABS(G343-H343)=ABS(hs-as),8,3),0))))</x:f>
      </x:c>
    </x:row>
    <x:row r="344">
      <x:c r="A344" s="21" t="str"/>
      <x:c r="B344" s="22" t="str"/>
      <x:c r="C344" s="22" t="str"/>
      <x:c r="D344" s="22" t="str">
        <x:f>IF(C344="","",XLOOKUP(C344,'Jogos_MataMata'!$A$2:$A$33,'Jogos_MataMata'!$B$2:$B$33,""))</x:f>
      </x:c>
      <x:c r="E344" s="22" t="str">
        <x:f>IF(C344="","",XLOOKUP(C344,'Jogos_MataMata'!$A$2:$A$33,'Jogos_MataMata'!$J$2:$J$33,""))</x:f>
      </x:c>
      <x:c r="F344" s="22" t="str">
        <x:f>IF(C344="","",XLOOKUP(C344,'Jogos_MataMata'!$A$2:$A$33,'Jogos_MataMata'!$K$2:$K$33,""))</x:f>
      </x:c>
      <x:c r="G344" s="22" t="str"/>
      <x:c r="H344" s="22" t="str"/>
      <x:c r="I344" s="22" t="str">
        <x:f>IF(AND(G344&lt;&gt;"",H344&lt;&gt;""),"SIM","NAO")</x:f>
        <x:v>NAO</x:v>
      </x:c>
      <x:c r="J344" s="23" t="str">
        <x:f>IF(OR(C344="",G344="",H344=""),"",LET(hs,XLOOKUP(C344,'Jogos_MataMata'!$A$2:$A$33,'Jogos_MataMata'!$O$2:$O$33,""),as,XLOOKUP(C344,'Jogos_MataMata'!$A$2:$A$33,'Jogos_MataMata'!$P$2:$P$33,""),win,XLOOKUP(C344,'Jogos_MataMata'!$A$2:$A$33,'Jogos_MataMata'!$Q$2:$Q$33,""),predWin,IF(G344&gt;H344,E344,IF(H344&gt;G344,F344,"")),IF(OR(hs="",as="",win=""),"",IF(predWin=win,IF(ABS(G344-H344)=ABS(hs-as),8,3),0))))</x:f>
      </x:c>
    </x:row>
    <x:row r="345">
      <x:c r="A345" s="21" t="str"/>
      <x:c r="B345" s="22" t="str"/>
      <x:c r="C345" s="22" t="str"/>
      <x:c r="D345" s="22" t="str">
        <x:f>IF(C345="","",XLOOKUP(C345,'Jogos_MataMata'!$A$2:$A$33,'Jogos_MataMata'!$B$2:$B$33,""))</x:f>
      </x:c>
      <x:c r="E345" s="22" t="str">
        <x:f>IF(C345="","",XLOOKUP(C345,'Jogos_MataMata'!$A$2:$A$33,'Jogos_MataMata'!$J$2:$J$33,""))</x:f>
      </x:c>
      <x:c r="F345" s="22" t="str">
        <x:f>IF(C345="","",XLOOKUP(C345,'Jogos_MataMata'!$A$2:$A$33,'Jogos_MataMata'!$K$2:$K$33,""))</x:f>
      </x:c>
      <x:c r="G345" s="22" t="str"/>
      <x:c r="H345" s="22" t="str"/>
      <x:c r="I345" s="22" t="str">
        <x:f>IF(AND(G345&lt;&gt;"",H345&lt;&gt;""),"SIM","NAO")</x:f>
        <x:v>NAO</x:v>
      </x:c>
      <x:c r="J345" s="23" t="str">
        <x:f>IF(OR(C345="",G345="",H345=""),"",LET(hs,XLOOKUP(C345,'Jogos_MataMata'!$A$2:$A$33,'Jogos_MataMata'!$O$2:$O$33,""),as,XLOOKUP(C345,'Jogos_MataMata'!$A$2:$A$33,'Jogos_MataMata'!$P$2:$P$33,""),win,XLOOKUP(C345,'Jogos_MataMata'!$A$2:$A$33,'Jogos_MataMata'!$Q$2:$Q$33,""),predWin,IF(G345&gt;H345,E345,IF(H345&gt;G345,F345,"")),IF(OR(hs="",as="",win=""),"",IF(predWin=win,IF(ABS(G345-H345)=ABS(hs-as),8,3),0))))</x:f>
      </x:c>
    </x:row>
    <x:row r="346">
      <x:c r="A346" s="21" t="str"/>
      <x:c r="B346" s="22" t="str"/>
      <x:c r="C346" s="22" t="str"/>
      <x:c r="D346" s="22" t="str">
        <x:f>IF(C346="","",XLOOKUP(C346,'Jogos_MataMata'!$A$2:$A$33,'Jogos_MataMata'!$B$2:$B$33,""))</x:f>
      </x:c>
      <x:c r="E346" s="22" t="str">
        <x:f>IF(C346="","",XLOOKUP(C346,'Jogos_MataMata'!$A$2:$A$33,'Jogos_MataMata'!$J$2:$J$33,""))</x:f>
      </x:c>
      <x:c r="F346" s="22" t="str">
        <x:f>IF(C346="","",XLOOKUP(C346,'Jogos_MataMata'!$A$2:$A$33,'Jogos_MataMata'!$K$2:$K$33,""))</x:f>
      </x:c>
      <x:c r="G346" s="22" t="str"/>
      <x:c r="H346" s="22" t="str"/>
      <x:c r="I346" s="22" t="str">
        <x:f>IF(AND(G346&lt;&gt;"",H346&lt;&gt;""),"SIM","NAO")</x:f>
        <x:v>NAO</x:v>
      </x:c>
      <x:c r="J346" s="23" t="str">
        <x:f>IF(OR(C346="",G346="",H346=""),"",LET(hs,XLOOKUP(C346,'Jogos_MataMata'!$A$2:$A$33,'Jogos_MataMata'!$O$2:$O$33,""),as,XLOOKUP(C346,'Jogos_MataMata'!$A$2:$A$33,'Jogos_MataMata'!$P$2:$P$33,""),win,XLOOKUP(C346,'Jogos_MataMata'!$A$2:$A$33,'Jogos_MataMata'!$Q$2:$Q$33,""),predWin,IF(G346&gt;H346,E346,IF(H346&gt;G346,F346,"")),IF(OR(hs="",as="",win=""),"",IF(predWin=win,IF(ABS(G346-H346)=ABS(hs-as),8,3),0))))</x:f>
      </x:c>
    </x:row>
    <x:row r="347">
      <x:c r="A347" s="21" t="str"/>
      <x:c r="B347" s="22" t="str"/>
      <x:c r="C347" s="22" t="str"/>
      <x:c r="D347" s="22" t="str">
        <x:f>IF(C347="","",XLOOKUP(C347,'Jogos_MataMata'!$A$2:$A$33,'Jogos_MataMata'!$B$2:$B$33,""))</x:f>
      </x:c>
      <x:c r="E347" s="22" t="str">
        <x:f>IF(C347="","",XLOOKUP(C347,'Jogos_MataMata'!$A$2:$A$33,'Jogos_MataMata'!$J$2:$J$33,""))</x:f>
      </x:c>
      <x:c r="F347" s="22" t="str">
        <x:f>IF(C347="","",XLOOKUP(C347,'Jogos_MataMata'!$A$2:$A$33,'Jogos_MataMata'!$K$2:$K$33,""))</x:f>
      </x:c>
      <x:c r="G347" s="22" t="str"/>
      <x:c r="H347" s="22" t="str"/>
      <x:c r="I347" s="22" t="str">
        <x:f>IF(AND(G347&lt;&gt;"",H347&lt;&gt;""),"SIM","NAO")</x:f>
        <x:v>NAO</x:v>
      </x:c>
      <x:c r="J347" s="23" t="str">
        <x:f>IF(OR(C347="",G347="",H347=""),"",LET(hs,XLOOKUP(C347,'Jogos_MataMata'!$A$2:$A$33,'Jogos_MataMata'!$O$2:$O$33,""),as,XLOOKUP(C347,'Jogos_MataMata'!$A$2:$A$33,'Jogos_MataMata'!$P$2:$P$33,""),win,XLOOKUP(C347,'Jogos_MataMata'!$A$2:$A$33,'Jogos_MataMata'!$Q$2:$Q$33,""),predWin,IF(G347&gt;H347,E347,IF(H347&gt;G347,F347,"")),IF(OR(hs="",as="",win=""),"",IF(predWin=win,IF(ABS(G347-H347)=ABS(hs-as),8,3),0))))</x:f>
      </x:c>
    </x:row>
    <x:row r="348">
      <x:c r="A348" s="21" t="str"/>
      <x:c r="B348" s="22" t="str"/>
      <x:c r="C348" s="22" t="str"/>
      <x:c r="D348" s="22" t="str">
        <x:f>IF(C348="","",XLOOKUP(C348,'Jogos_MataMata'!$A$2:$A$33,'Jogos_MataMata'!$B$2:$B$33,""))</x:f>
      </x:c>
      <x:c r="E348" s="22" t="str">
        <x:f>IF(C348="","",XLOOKUP(C348,'Jogos_MataMata'!$A$2:$A$33,'Jogos_MataMata'!$J$2:$J$33,""))</x:f>
      </x:c>
      <x:c r="F348" s="22" t="str">
        <x:f>IF(C348="","",XLOOKUP(C348,'Jogos_MataMata'!$A$2:$A$33,'Jogos_MataMata'!$K$2:$K$33,""))</x:f>
      </x:c>
      <x:c r="G348" s="22" t="str"/>
      <x:c r="H348" s="22" t="str"/>
      <x:c r="I348" s="22" t="str">
        <x:f>IF(AND(G348&lt;&gt;"",H348&lt;&gt;""),"SIM","NAO")</x:f>
        <x:v>NAO</x:v>
      </x:c>
      <x:c r="J348" s="23" t="str">
        <x:f>IF(OR(C348="",G348="",H348=""),"",LET(hs,XLOOKUP(C348,'Jogos_MataMata'!$A$2:$A$33,'Jogos_MataMata'!$O$2:$O$33,""),as,XLOOKUP(C348,'Jogos_MataMata'!$A$2:$A$33,'Jogos_MataMata'!$P$2:$P$33,""),win,XLOOKUP(C348,'Jogos_MataMata'!$A$2:$A$33,'Jogos_MataMata'!$Q$2:$Q$33,""),predWin,IF(G348&gt;H348,E348,IF(H348&gt;G348,F348,"")),IF(OR(hs="",as="",win=""),"",IF(predWin=win,IF(ABS(G348-H348)=ABS(hs-as),8,3),0))))</x:f>
      </x:c>
    </x:row>
    <x:row r="349">
      <x:c r="A349" s="21" t="str"/>
      <x:c r="B349" s="22" t="str"/>
      <x:c r="C349" s="22" t="str"/>
      <x:c r="D349" s="22" t="str">
        <x:f>IF(C349="","",XLOOKUP(C349,'Jogos_MataMata'!$A$2:$A$33,'Jogos_MataMata'!$B$2:$B$33,""))</x:f>
      </x:c>
      <x:c r="E349" s="22" t="str">
        <x:f>IF(C349="","",XLOOKUP(C349,'Jogos_MataMata'!$A$2:$A$33,'Jogos_MataMata'!$J$2:$J$33,""))</x:f>
      </x:c>
      <x:c r="F349" s="22" t="str">
        <x:f>IF(C349="","",XLOOKUP(C349,'Jogos_MataMata'!$A$2:$A$33,'Jogos_MataMata'!$K$2:$K$33,""))</x:f>
      </x:c>
      <x:c r="G349" s="22" t="str"/>
      <x:c r="H349" s="22" t="str"/>
      <x:c r="I349" s="22" t="str">
        <x:f>IF(AND(G349&lt;&gt;"",H349&lt;&gt;""),"SIM","NAO")</x:f>
        <x:v>NAO</x:v>
      </x:c>
      <x:c r="J349" s="23" t="str">
        <x:f>IF(OR(C349="",G349="",H349=""),"",LET(hs,XLOOKUP(C349,'Jogos_MataMata'!$A$2:$A$33,'Jogos_MataMata'!$O$2:$O$33,""),as,XLOOKUP(C349,'Jogos_MataMata'!$A$2:$A$33,'Jogos_MataMata'!$P$2:$P$33,""),win,XLOOKUP(C349,'Jogos_MataMata'!$A$2:$A$33,'Jogos_MataMata'!$Q$2:$Q$33,""),predWin,IF(G349&gt;H349,E349,IF(H349&gt;G349,F349,"")),IF(OR(hs="",as="",win=""),"",IF(predWin=win,IF(ABS(G349-H349)=ABS(hs-as),8,3),0))))</x:f>
      </x:c>
    </x:row>
    <x:row r="350">
      <x:c r="A350" s="21" t="str"/>
      <x:c r="B350" s="22" t="str"/>
      <x:c r="C350" s="22" t="str"/>
      <x:c r="D350" s="22" t="str">
        <x:f>IF(C350="","",XLOOKUP(C350,'Jogos_MataMata'!$A$2:$A$33,'Jogos_MataMata'!$B$2:$B$33,""))</x:f>
      </x:c>
      <x:c r="E350" s="22" t="str">
        <x:f>IF(C350="","",XLOOKUP(C350,'Jogos_MataMata'!$A$2:$A$33,'Jogos_MataMata'!$J$2:$J$33,""))</x:f>
      </x:c>
      <x:c r="F350" s="22" t="str">
        <x:f>IF(C350="","",XLOOKUP(C350,'Jogos_MataMata'!$A$2:$A$33,'Jogos_MataMata'!$K$2:$K$33,""))</x:f>
      </x:c>
      <x:c r="G350" s="22" t="str"/>
      <x:c r="H350" s="22" t="str"/>
      <x:c r="I350" s="22" t="str">
        <x:f>IF(AND(G350&lt;&gt;"",H350&lt;&gt;""),"SIM","NAO")</x:f>
        <x:v>NAO</x:v>
      </x:c>
      <x:c r="J350" s="23" t="str">
        <x:f>IF(OR(C350="",G350="",H350=""),"",LET(hs,XLOOKUP(C350,'Jogos_MataMata'!$A$2:$A$33,'Jogos_MataMata'!$O$2:$O$33,""),as,XLOOKUP(C350,'Jogos_MataMata'!$A$2:$A$33,'Jogos_MataMata'!$P$2:$P$33,""),win,XLOOKUP(C350,'Jogos_MataMata'!$A$2:$A$33,'Jogos_MataMata'!$Q$2:$Q$33,""),predWin,IF(G350&gt;H350,E350,IF(H350&gt;G350,F350,"")),IF(OR(hs="",as="",win=""),"",IF(predWin=win,IF(ABS(G350-H350)=ABS(hs-as),8,3),0))))</x:f>
      </x:c>
    </x:row>
    <x:row r="351">
      <x:c r="A351" s="21" t="str"/>
      <x:c r="B351" s="22" t="str"/>
      <x:c r="C351" s="22" t="str"/>
      <x:c r="D351" s="22" t="str">
        <x:f>IF(C351="","",XLOOKUP(C351,'Jogos_MataMata'!$A$2:$A$33,'Jogos_MataMata'!$B$2:$B$33,""))</x:f>
      </x:c>
      <x:c r="E351" s="22" t="str">
        <x:f>IF(C351="","",XLOOKUP(C351,'Jogos_MataMata'!$A$2:$A$33,'Jogos_MataMata'!$J$2:$J$33,""))</x:f>
      </x:c>
      <x:c r="F351" s="22" t="str">
        <x:f>IF(C351="","",XLOOKUP(C351,'Jogos_MataMata'!$A$2:$A$33,'Jogos_MataMata'!$K$2:$K$33,""))</x:f>
      </x:c>
      <x:c r="G351" s="22" t="str"/>
      <x:c r="H351" s="22" t="str"/>
      <x:c r="I351" s="22" t="str">
        <x:f>IF(AND(G351&lt;&gt;"",H351&lt;&gt;""),"SIM","NAO")</x:f>
        <x:v>NAO</x:v>
      </x:c>
      <x:c r="J351" s="23" t="str">
        <x:f>IF(OR(C351="",G351="",H351=""),"",LET(hs,XLOOKUP(C351,'Jogos_MataMata'!$A$2:$A$33,'Jogos_MataMata'!$O$2:$O$33,""),as,XLOOKUP(C351,'Jogos_MataMata'!$A$2:$A$33,'Jogos_MataMata'!$P$2:$P$33,""),win,XLOOKUP(C351,'Jogos_MataMata'!$A$2:$A$33,'Jogos_MataMata'!$Q$2:$Q$33,""),predWin,IF(G351&gt;H351,E351,IF(H351&gt;G351,F351,"")),IF(OR(hs="",as="",win=""),"",IF(predWin=win,IF(ABS(G351-H351)=ABS(hs-as),8,3),0))))</x:f>
      </x:c>
    </x:row>
    <x:row r="352">
      <x:c r="A352" s="21" t="str"/>
      <x:c r="B352" s="22" t="str"/>
      <x:c r="C352" s="22" t="str"/>
      <x:c r="D352" s="22" t="str">
        <x:f>IF(C352="","",XLOOKUP(C352,'Jogos_MataMata'!$A$2:$A$33,'Jogos_MataMata'!$B$2:$B$33,""))</x:f>
      </x:c>
      <x:c r="E352" s="22" t="str">
        <x:f>IF(C352="","",XLOOKUP(C352,'Jogos_MataMata'!$A$2:$A$33,'Jogos_MataMata'!$J$2:$J$33,""))</x:f>
      </x:c>
      <x:c r="F352" s="22" t="str">
        <x:f>IF(C352="","",XLOOKUP(C352,'Jogos_MataMata'!$A$2:$A$33,'Jogos_MataMata'!$K$2:$K$33,""))</x:f>
      </x:c>
      <x:c r="G352" s="22" t="str"/>
      <x:c r="H352" s="22" t="str"/>
      <x:c r="I352" s="22" t="str">
        <x:f>IF(AND(G352&lt;&gt;"",H352&lt;&gt;""),"SIM","NAO")</x:f>
        <x:v>NAO</x:v>
      </x:c>
      <x:c r="J352" s="23" t="str">
        <x:f>IF(OR(C352="",G352="",H352=""),"",LET(hs,XLOOKUP(C352,'Jogos_MataMata'!$A$2:$A$33,'Jogos_MataMata'!$O$2:$O$33,""),as,XLOOKUP(C352,'Jogos_MataMata'!$A$2:$A$33,'Jogos_MataMata'!$P$2:$P$33,""),win,XLOOKUP(C352,'Jogos_MataMata'!$A$2:$A$33,'Jogos_MataMata'!$Q$2:$Q$33,""),predWin,IF(G352&gt;H352,E352,IF(H352&gt;G352,F352,"")),IF(OR(hs="",as="",win=""),"",IF(predWin=win,IF(ABS(G352-H352)=ABS(hs-as),8,3),0))))</x:f>
      </x:c>
    </x:row>
    <x:row r="353">
      <x:c r="A353" s="21" t="str"/>
      <x:c r="B353" s="22" t="str"/>
      <x:c r="C353" s="22" t="str"/>
      <x:c r="D353" s="22" t="str">
        <x:f>IF(C353="","",XLOOKUP(C353,'Jogos_MataMata'!$A$2:$A$33,'Jogos_MataMata'!$B$2:$B$33,""))</x:f>
      </x:c>
      <x:c r="E353" s="22" t="str">
        <x:f>IF(C353="","",XLOOKUP(C353,'Jogos_MataMata'!$A$2:$A$33,'Jogos_MataMata'!$J$2:$J$33,""))</x:f>
      </x:c>
      <x:c r="F353" s="22" t="str">
        <x:f>IF(C353="","",XLOOKUP(C353,'Jogos_MataMata'!$A$2:$A$33,'Jogos_MataMata'!$K$2:$K$33,""))</x:f>
      </x:c>
      <x:c r="G353" s="22" t="str"/>
      <x:c r="H353" s="22" t="str"/>
      <x:c r="I353" s="22" t="str">
        <x:f>IF(AND(G353&lt;&gt;"",H353&lt;&gt;""),"SIM","NAO")</x:f>
        <x:v>NAO</x:v>
      </x:c>
      <x:c r="J353" s="23" t="str">
        <x:f>IF(OR(C353="",G353="",H353=""),"",LET(hs,XLOOKUP(C353,'Jogos_MataMata'!$A$2:$A$33,'Jogos_MataMata'!$O$2:$O$33,""),as,XLOOKUP(C353,'Jogos_MataMata'!$A$2:$A$33,'Jogos_MataMata'!$P$2:$P$33,""),win,XLOOKUP(C353,'Jogos_MataMata'!$A$2:$A$33,'Jogos_MataMata'!$Q$2:$Q$33,""),predWin,IF(G353&gt;H353,E353,IF(H353&gt;G353,F353,"")),IF(OR(hs="",as="",win=""),"",IF(predWin=win,IF(ABS(G353-H353)=ABS(hs-as),8,3),0))))</x:f>
      </x:c>
    </x:row>
    <x:row r="354">
      <x:c r="A354" s="21" t="str"/>
      <x:c r="B354" s="22" t="str"/>
      <x:c r="C354" s="22" t="str"/>
      <x:c r="D354" s="22" t="str">
        <x:f>IF(C354="","",XLOOKUP(C354,'Jogos_MataMata'!$A$2:$A$33,'Jogos_MataMata'!$B$2:$B$33,""))</x:f>
      </x:c>
      <x:c r="E354" s="22" t="str">
        <x:f>IF(C354="","",XLOOKUP(C354,'Jogos_MataMata'!$A$2:$A$33,'Jogos_MataMata'!$J$2:$J$33,""))</x:f>
      </x:c>
      <x:c r="F354" s="22" t="str">
        <x:f>IF(C354="","",XLOOKUP(C354,'Jogos_MataMata'!$A$2:$A$33,'Jogos_MataMata'!$K$2:$K$33,""))</x:f>
      </x:c>
      <x:c r="G354" s="22" t="str"/>
      <x:c r="H354" s="22" t="str"/>
      <x:c r="I354" s="22" t="str">
        <x:f>IF(AND(G354&lt;&gt;"",H354&lt;&gt;""),"SIM","NAO")</x:f>
        <x:v>NAO</x:v>
      </x:c>
      <x:c r="J354" s="23" t="str">
        <x:f>IF(OR(C354="",G354="",H354=""),"",LET(hs,XLOOKUP(C354,'Jogos_MataMata'!$A$2:$A$33,'Jogos_MataMata'!$O$2:$O$33,""),as,XLOOKUP(C354,'Jogos_MataMata'!$A$2:$A$33,'Jogos_MataMata'!$P$2:$P$33,""),win,XLOOKUP(C354,'Jogos_MataMata'!$A$2:$A$33,'Jogos_MataMata'!$Q$2:$Q$33,""),predWin,IF(G354&gt;H354,E354,IF(H354&gt;G354,F354,"")),IF(OR(hs="",as="",win=""),"",IF(predWin=win,IF(ABS(G354-H354)=ABS(hs-as),8,3),0))))</x:f>
      </x:c>
    </x:row>
    <x:row r="355">
      <x:c r="A355" s="21" t="str"/>
      <x:c r="B355" s="22" t="str"/>
      <x:c r="C355" s="22" t="str"/>
      <x:c r="D355" s="22" t="str">
        <x:f>IF(C355="","",XLOOKUP(C355,'Jogos_MataMata'!$A$2:$A$33,'Jogos_MataMata'!$B$2:$B$33,""))</x:f>
      </x:c>
      <x:c r="E355" s="22" t="str">
        <x:f>IF(C355="","",XLOOKUP(C355,'Jogos_MataMata'!$A$2:$A$33,'Jogos_MataMata'!$J$2:$J$33,""))</x:f>
      </x:c>
      <x:c r="F355" s="22" t="str">
        <x:f>IF(C355="","",XLOOKUP(C355,'Jogos_MataMata'!$A$2:$A$33,'Jogos_MataMata'!$K$2:$K$33,""))</x:f>
      </x:c>
      <x:c r="G355" s="22" t="str"/>
      <x:c r="H355" s="22" t="str"/>
      <x:c r="I355" s="22" t="str">
        <x:f>IF(AND(G355&lt;&gt;"",H355&lt;&gt;""),"SIM","NAO")</x:f>
        <x:v>NAO</x:v>
      </x:c>
      <x:c r="J355" s="23" t="str">
        <x:f>IF(OR(C355="",G355="",H355=""),"",LET(hs,XLOOKUP(C355,'Jogos_MataMata'!$A$2:$A$33,'Jogos_MataMata'!$O$2:$O$33,""),as,XLOOKUP(C355,'Jogos_MataMata'!$A$2:$A$33,'Jogos_MataMata'!$P$2:$P$33,""),win,XLOOKUP(C355,'Jogos_MataMata'!$A$2:$A$33,'Jogos_MataMata'!$Q$2:$Q$33,""),predWin,IF(G355&gt;H355,E355,IF(H355&gt;G355,F355,"")),IF(OR(hs="",as="",win=""),"",IF(predWin=win,IF(ABS(G355-H355)=ABS(hs-as),8,3),0))))</x:f>
      </x:c>
    </x:row>
    <x:row r="356">
      <x:c r="A356" s="21" t="str"/>
      <x:c r="B356" s="22" t="str"/>
      <x:c r="C356" s="22" t="str"/>
      <x:c r="D356" s="22" t="str">
        <x:f>IF(C356="","",XLOOKUP(C356,'Jogos_MataMata'!$A$2:$A$33,'Jogos_MataMata'!$B$2:$B$33,""))</x:f>
      </x:c>
      <x:c r="E356" s="22" t="str">
        <x:f>IF(C356="","",XLOOKUP(C356,'Jogos_MataMata'!$A$2:$A$33,'Jogos_MataMata'!$J$2:$J$33,""))</x:f>
      </x:c>
      <x:c r="F356" s="22" t="str">
        <x:f>IF(C356="","",XLOOKUP(C356,'Jogos_MataMata'!$A$2:$A$33,'Jogos_MataMata'!$K$2:$K$33,""))</x:f>
      </x:c>
      <x:c r="G356" s="22" t="str"/>
      <x:c r="H356" s="22" t="str"/>
      <x:c r="I356" s="22" t="str">
        <x:f>IF(AND(G356&lt;&gt;"",H356&lt;&gt;""),"SIM","NAO")</x:f>
        <x:v>NAO</x:v>
      </x:c>
      <x:c r="J356" s="23" t="str">
        <x:f>IF(OR(C356="",G356="",H356=""),"",LET(hs,XLOOKUP(C356,'Jogos_MataMata'!$A$2:$A$33,'Jogos_MataMata'!$O$2:$O$33,""),as,XLOOKUP(C356,'Jogos_MataMata'!$A$2:$A$33,'Jogos_MataMata'!$P$2:$P$33,""),win,XLOOKUP(C356,'Jogos_MataMata'!$A$2:$A$33,'Jogos_MataMata'!$Q$2:$Q$33,""),predWin,IF(G356&gt;H356,E356,IF(H356&gt;G356,F356,"")),IF(OR(hs="",as="",win=""),"",IF(predWin=win,IF(ABS(G356-H356)=ABS(hs-as),8,3),0))))</x:f>
      </x:c>
    </x:row>
    <x:row r="357">
      <x:c r="A357" s="21" t="str"/>
      <x:c r="B357" s="22" t="str"/>
      <x:c r="C357" s="22" t="str"/>
      <x:c r="D357" s="22" t="str">
        <x:f>IF(C357="","",XLOOKUP(C357,'Jogos_MataMata'!$A$2:$A$33,'Jogos_MataMata'!$B$2:$B$33,""))</x:f>
      </x:c>
      <x:c r="E357" s="22" t="str">
        <x:f>IF(C357="","",XLOOKUP(C357,'Jogos_MataMata'!$A$2:$A$33,'Jogos_MataMata'!$J$2:$J$33,""))</x:f>
      </x:c>
      <x:c r="F357" s="22" t="str">
        <x:f>IF(C357="","",XLOOKUP(C357,'Jogos_MataMata'!$A$2:$A$33,'Jogos_MataMata'!$K$2:$K$33,""))</x:f>
      </x:c>
      <x:c r="G357" s="22" t="str"/>
      <x:c r="H357" s="22" t="str"/>
      <x:c r="I357" s="22" t="str">
        <x:f>IF(AND(G357&lt;&gt;"",H357&lt;&gt;""),"SIM","NAO")</x:f>
        <x:v>NAO</x:v>
      </x:c>
      <x:c r="J357" s="23" t="str">
        <x:f>IF(OR(C357="",G357="",H357=""),"",LET(hs,XLOOKUP(C357,'Jogos_MataMata'!$A$2:$A$33,'Jogos_MataMata'!$O$2:$O$33,""),as,XLOOKUP(C357,'Jogos_MataMata'!$A$2:$A$33,'Jogos_MataMata'!$P$2:$P$33,""),win,XLOOKUP(C357,'Jogos_MataMata'!$A$2:$A$33,'Jogos_MataMata'!$Q$2:$Q$33,""),predWin,IF(G357&gt;H357,E357,IF(H357&gt;G357,F357,"")),IF(OR(hs="",as="",win=""),"",IF(predWin=win,IF(ABS(G357-H357)=ABS(hs-as),8,3),0))))</x:f>
      </x:c>
    </x:row>
    <x:row r="358">
      <x:c r="A358" s="21" t="str"/>
      <x:c r="B358" s="22" t="str"/>
      <x:c r="C358" s="22" t="str"/>
      <x:c r="D358" s="22" t="str">
        <x:f>IF(C358="","",XLOOKUP(C358,'Jogos_MataMata'!$A$2:$A$33,'Jogos_MataMata'!$B$2:$B$33,""))</x:f>
      </x:c>
      <x:c r="E358" s="22" t="str">
        <x:f>IF(C358="","",XLOOKUP(C358,'Jogos_MataMata'!$A$2:$A$33,'Jogos_MataMata'!$J$2:$J$33,""))</x:f>
      </x:c>
      <x:c r="F358" s="22" t="str">
        <x:f>IF(C358="","",XLOOKUP(C358,'Jogos_MataMata'!$A$2:$A$33,'Jogos_MataMata'!$K$2:$K$33,""))</x:f>
      </x:c>
      <x:c r="G358" s="22" t="str"/>
      <x:c r="H358" s="22" t="str"/>
      <x:c r="I358" s="22" t="str">
        <x:f>IF(AND(G358&lt;&gt;"",H358&lt;&gt;""),"SIM","NAO")</x:f>
        <x:v>NAO</x:v>
      </x:c>
      <x:c r="J358" s="23" t="str">
        <x:f>IF(OR(C358="",G358="",H358=""),"",LET(hs,XLOOKUP(C358,'Jogos_MataMata'!$A$2:$A$33,'Jogos_MataMata'!$O$2:$O$33,""),as,XLOOKUP(C358,'Jogos_MataMata'!$A$2:$A$33,'Jogos_MataMata'!$P$2:$P$33,""),win,XLOOKUP(C358,'Jogos_MataMata'!$A$2:$A$33,'Jogos_MataMata'!$Q$2:$Q$33,""),predWin,IF(G358&gt;H358,E358,IF(H358&gt;G358,F358,"")),IF(OR(hs="",as="",win=""),"",IF(predWin=win,IF(ABS(G358-H358)=ABS(hs-as),8,3),0))))</x:f>
      </x:c>
    </x:row>
    <x:row r="359">
      <x:c r="A359" s="21" t="str"/>
      <x:c r="B359" s="22" t="str"/>
      <x:c r="C359" s="22" t="str"/>
      <x:c r="D359" s="22" t="str">
        <x:f>IF(C359="","",XLOOKUP(C359,'Jogos_MataMata'!$A$2:$A$33,'Jogos_MataMata'!$B$2:$B$33,""))</x:f>
      </x:c>
      <x:c r="E359" s="22" t="str">
        <x:f>IF(C359="","",XLOOKUP(C359,'Jogos_MataMata'!$A$2:$A$33,'Jogos_MataMata'!$J$2:$J$33,""))</x:f>
      </x:c>
      <x:c r="F359" s="22" t="str">
        <x:f>IF(C359="","",XLOOKUP(C359,'Jogos_MataMata'!$A$2:$A$33,'Jogos_MataMata'!$K$2:$K$33,""))</x:f>
      </x:c>
      <x:c r="G359" s="22" t="str"/>
      <x:c r="H359" s="22" t="str"/>
      <x:c r="I359" s="22" t="str">
        <x:f>IF(AND(G359&lt;&gt;"",H359&lt;&gt;""),"SIM","NAO")</x:f>
        <x:v>NAO</x:v>
      </x:c>
      <x:c r="J359" s="23" t="str">
        <x:f>IF(OR(C359="",G359="",H359=""),"",LET(hs,XLOOKUP(C359,'Jogos_MataMata'!$A$2:$A$33,'Jogos_MataMata'!$O$2:$O$33,""),as,XLOOKUP(C359,'Jogos_MataMata'!$A$2:$A$33,'Jogos_MataMata'!$P$2:$P$33,""),win,XLOOKUP(C359,'Jogos_MataMata'!$A$2:$A$33,'Jogos_MataMata'!$Q$2:$Q$33,""),predWin,IF(G359&gt;H359,E359,IF(H359&gt;G359,F359,"")),IF(OR(hs="",as="",win=""),"",IF(predWin=win,IF(ABS(G359-H359)=ABS(hs-as),8,3),0))))</x:f>
      </x:c>
    </x:row>
    <x:row r="360">
      <x:c r="A360" s="21" t="str"/>
      <x:c r="B360" s="22" t="str"/>
      <x:c r="C360" s="22" t="str"/>
      <x:c r="D360" s="22" t="str">
        <x:f>IF(C360="","",XLOOKUP(C360,'Jogos_MataMata'!$A$2:$A$33,'Jogos_MataMata'!$B$2:$B$33,""))</x:f>
      </x:c>
      <x:c r="E360" s="22" t="str">
        <x:f>IF(C360="","",XLOOKUP(C360,'Jogos_MataMata'!$A$2:$A$33,'Jogos_MataMata'!$J$2:$J$33,""))</x:f>
      </x:c>
      <x:c r="F360" s="22" t="str">
        <x:f>IF(C360="","",XLOOKUP(C360,'Jogos_MataMata'!$A$2:$A$33,'Jogos_MataMata'!$K$2:$K$33,""))</x:f>
      </x:c>
      <x:c r="G360" s="22" t="str"/>
      <x:c r="H360" s="22" t="str"/>
      <x:c r="I360" s="22" t="str">
        <x:f>IF(AND(G360&lt;&gt;"",H360&lt;&gt;""),"SIM","NAO")</x:f>
        <x:v>NAO</x:v>
      </x:c>
      <x:c r="J360" s="23" t="str">
        <x:f>IF(OR(C360="",G360="",H360=""),"",LET(hs,XLOOKUP(C360,'Jogos_MataMata'!$A$2:$A$33,'Jogos_MataMata'!$O$2:$O$33,""),as,XLOOKUP(C360,'Jogos_MataMata'!$A$2:$A$33,'Jogos_MataMata'!$P$2:$P$33,""),win,XLOOKUP(C360,'Jogos_MataMata'!$A$2:$A$33,'Jogos_MataMata'!$Q$2:$Q$33,""),predWin,IF(G360&gt;H360,E360,IF(H360&gt;G360,F360,"")),IF(OR(hs="",as="",win=""),"",IF(predWin=win,IF(ABS(G360-H360)=ABS(hs-as),8,3),0))))</x:f>
      </x:c>
    </x:row>
    <x:row r="361">
      <x:c r="A361" s="21" t="str"/>
      <x:c r="B361" s="22" t="str"/>
      <x:c r="C361" s="22" t="str"/>
      <x:c r="D361" s="22" t="str">
        <x:f>IF(C361="","",XLOOKUP(C361,'Jogos_MataMata'!$A$2:$A$33,'Jogos_MataMata'!$B$2:$B$33,""))</x:f>
      </x:c>
      <x:c r="E361" s="22" t="str">
        <x:f>IF(C361="","",XLOOKUP(C361,'Jogos_MataMata'!$A$2:$A$33,'Jogos_MataMata'!$J$2:$J$33,""))</x:f>
      </x:c>
      <x:c r="F361" s="22" t="str">
        <x:f>IF(C361="","",XLOOKUP(C361,'Jogos_MataMata'!$A$2:$A$33,'Jogos_MataMata'!$K$2:$K$33,""))</x:f>
      </x:c>
      <x:c r="G361" s="22" t="str"/>
      <x:c r="H361" s="22" t="str"/>
      <x:c r="I361" s="22" t="str">
        <x:f>IF(AND(G361&lt;&gt;"",H361&lt;&gt;""),"SIM","NAO")</x:f>
        <x:v>NAO</x:v>
      </x:c>
      <x:c r="J361" s="23" t="str">
        <x:f>IF(OR(C361="",G361="",H361=""),"",LET(hs,XLOOKUP(C361,'Jogos_MataMata'!$A$2:$A$33,'Jogos_MataMata'!$O$2:$O$33,""),as,XLOOKUP(C361,'Jogos_MataMata'!$A$2:$A$33,'Jogos_MataMata'!$P$2:$P$33,""),win,XLOOKUP(C361,'Jogos_MataMata'!$A$2:$A$33,'Jogos_MataMata'!$Q$2:$Q$33,""),predWin,IF(G361&gt;H361,E361,IF(H361&gt;G361,F361,"")),IF(OR(hs="",as="",win=""),"",IF(predWin=win,IF(ABS(G361-H361)=ABS(hs-as),8,3),0))))</x:f>
      </x:c>
    </x:row>
    <x:row r="362">
      <x:c r="A362" s="21" t="str"/>
      <x:c r="B362" s="22" t="str"/>
      <x:c r="C362" s="22" t="str"/>
      <x:c r="D362" s="22" t="str">
        <x:f>IF(C362="","",XLOOKUP(C362,'Jogos_MataMata'!$A$2:$A$33,'Jogos_MataMata'!$B$2:$B$33,""))</x:f>
      </x:c>
      <x:c r="E362" s="22" t="str">
        <x:f>IF(C362="","",XLOOKUP(C362,'Jogos_MataMata'!$A$2:$A$33,'Jogos_MataMata'!$J$2:$J$33,""))</x:f>
      </x:c>
      <x:c r="F362" s="22" t="str">
        <x:f>IF(C362="","",XLOOKUP(C362,'Jogos_MataMata'!$A$2:$A$33,'Jogos_MataMata'!$K$2:$K$33,""))</x:f>
      </x:c>
      <x:c r="G362" s="22" t="str"/>
      <x:c r="H362" s="22" t="str"/>
      <x:c r="I362" s="22" t="str">
        <x:f>IF(AND(G362&lt;&gt;"",H362&lt;&gt;""),"SIM","NAO")</x:f>
        <x:v>NAO</x:v>
      </x:c>
      <x:c r="J362" s="23" t="str">
        <x:f>IF(OR(C362="",G362="",H362=""),"",LET(hs,XLOOKUP(C362,'Jogos_MataMata'!$A$2:$A$33,'Jogos_MataMata'!$O$2:$O$33,""),as,XLOOKUP(C362,'Jogos_MataMata'!$A$2:$A$33,'Jogos_MataMata'!$P$2:$P$33,""),win,XLOOKUP(C362,'Jogos_MataMata'!$A$2:$A$33,'Jogos_MataMata'!$Q$2:$Q$33,""),predWin,IF(G362&gt;H362,E362,IF(H362&gt;G362,F362,"")),IF(OR(hs="",as="",win=""),"",IF(predWin=win,IF(ABS(G362-H362)=ABS(hs-as),8,3),0))))</x:f>
      </x:c>
    </x:row>
    <x:row r="363">
      <x:c r="A363" s="21" t="str"/>
      <x:c r="B363" s="22" t="str"/>
      <x:c r="C363" s="22" t="str"/>
      <x:c r="D363" s="22" t="str">
        <x:f>IF(C363="","",XLOOKUP(C363,'Jogos_MataMata'!$A$2:$A$33,'Jogos_MataMata'!$B$2:$B$33,""))</x:f>
      </x:c>
      <x:c r="E363" s="22" t="str">
        <x:f>IF(C363="","",XLOOKUP(C363,'Jogos_MataMata'!$A$2:$A$33,'Jogos_MataMata'!$J$2:$J$33,""))</x:f>
      </x:c>
      <x:c r="F363" s="22" t="str">
        <x:f>IF(C363="","",XLOOKUP(C363,'Jogos_MataMata'!$A$2:$A$33,'Jogos_MataMata'!$K$2:$K$33,""))</x:f>
      </x:c>
      <x:c r="G363" s="22" t="str"/>
      <x:c r="H363" s="22" t="str"/>
      <x:c r="I363" s="22" t="str">
        <x:f>IF(AND(G363&lt;&gt;"",H363&lt;&gt;""),"SIM","NAO")</x:f>
        <x:v>NAO</x:v>
      </x:c>
      <x:c r="J363" s="23" t="str">
        <x:f>IF(OR(C363="",G363="",H363=""),"",LET(hs,XLOOKUP(C363,'Jogos_MataMata'!$A$2:$A$33,'Jogos_MataMata'!$O$2:$O$33,""),as,XLOOKUP(C363,'Jogos_MataMata'!$A$2:$A$33,'Jogos_MataMata'!$P$2:$P$33,""),win,XLOOKUP(C363,'Jogos_MataMata'!$A$2:$A$33,'Jogos_MataMata'!$Q$2:$Q$33,""),predWin,IF(G363&gt;H363,E363,IF(H363&gt;G363,F363,"")),IF(OR(hs="",as="",win=""),"",IF(predWin=win,IF(ABS(G363-H363)=ABS(hs-as),8,3),0))))</x:f>
      </x:c>
    </x:row>
    <x:row r="364">
      <x:c r="A364" s="21" t="str"/>
      <x:c r="B364" s="22" t="str"/>
      <x:c r="C364" s="22" t="str"/>
      <x:c r="D364" s="22" t="str">
        <x:f>IF(C364="","",XLOOKUP(C364,'Jogos_MataMata'!$A$2:$A$33,'Jogos_MataMata'!$B$2:$B$33,""))</x:f>
      </x:c>
      <x:c r="E364" s="22" t="str">
        <x:f>IF(C364="","",XLOOKUP(C364,'Jogos_MataMata'!$A$2:$A$33,'Jogos_MataMata'!$J$2:$J$33,""))</x:f>
      </x:c>
      <x:c r="F364" s="22" t="str">
        <x:f>IF(C364="","",XLOOKUP(C364,'Jogos_MataMata'!$A$2:$A$33,'Jogos_MataMata'!$K$2:$K$33,""))</x:f>
      </x:c>
      <x:c r="G364" s="22" t="str"/>
      <x:c r="H364" s="22" t="str"/>
      <x:c r="I364" s="22" t="str">
        <x:f>IF(AND(G364&lt;&gt;"",H364&lt;&gt;""),"SIM","NAO")</x:f>
        <x:v>NAO</x:v>
      </x:c>
      <x:c r="J364" s="23" t="str">
        <x:f>IF(OR(C364="",G364="",H364=""),"",LET(hs,XLOOKUP(C364,'Jogos_MataMata'!$A$2:$A$33,'Jogos_MataMata'!$O$2:$O$33,""),as,XLOOKUP(C364,'Jogos_MataMata'!$A$2:$A$33,'Jogos_MataMata'!$P$2:$P$33,""),win,XLOOKUP(C364,'Jogos_MataMata'!$A$2:$A$33,'Jogos_MataMata'!$Q$2:$Q$33,""),predWin,IF(G364&gt;H364,E364,IF(H364&gt;G364,F364,"")),IF(OR(hs="",as="",win=""),"",IF(predWin=win,IF(ABS(G364-H364)=ABS(hs-as),8,3),0))))</x:f>
      </x:c>
    </x:row>
    <x:row r="365">
      <x:c r="A365" s="21" t="str"/>
      <x:c r="B365" s="22" t="str"/>
      <x:c r="C365" s="22" t="str"/>
      <x:c r="D365" s="22" t="str">
        <x:f>IF(C365="","",XLOOKUP(C365,'Jogos_MataMata'!$A$2:$A$33,'Jogos_MataMata'!$B$2:$B$33,""))</x:f>
      </x:c>
      <x:c r="E365" s="22" t="str">
        <x:f>IF(C365="","",XLOOKUP(C365,'Jogos_MataMata'!$A$2:$A$33,'Jogos_MataMata'!$J$2:$J$33,""))</x:f>
      </x:c>
      <x:c r="F365" s="22" t="str">
        <x:f>IF(C365="","",XLOOKUP(C365,'Jogos_MataMata'!$A$2:$A$33,'Jogos_MataMata'!$K$2:$K$33,""))</x:f>
      </x:c>
      <x:c r="G365" s="22" t="str"/>
      <x:c r="H365" s="22" t="str"/>
      <x:c r="I365" s="22" t="str">
        <x:f>IF(AND(G365&lt;&gt;"",H365&lt;&gt;""),"SIM","NAO")</x:f>
        <x:v>NAO</x:v>
      </x:c>
      <x:c r="J365" s="23" t="str">
        <x:f>IF(OR(C365="",G365="",H365=""),"",LET(hs,XLOOKUP(C365,'Jogos_MataMata'!$A$2:$A$33,'Jogos_MataMata'!$O$2:$O$33,""),as,XLOOKUP(C365,'Jogos_MataMata'!$A$2:$A$33,'Jogos_MataMata'!$P$2:$P$33,""),win,XLOOKUP(C365,'Jogos_MataMata'!$A$2:$A$33,'Jogos_MataMata'!$Q$2:$Q$33,""),predWin,IF(G365&gt;H365,E365,IF(H365&gt;G365,F365,"")),IF(OR(hs="",as="",win=""),"",IF(predWin=win,IF(ABS(G365-H365)=ABS(hs-as),8,3),0))))</x:f>
      </x:c>
    </x:row>
    <x:row r="366">
      <x:c r="A366" s="21" t="str"/>
      <x:c r="B366" s="22" t="str"/>
      <x:c r="C366" s="22" t="str"/>
      <x:c r="D366" s="22" t="str">
        <x:f>IF(C366="","",XLOOKUP(C366,'Jogos_MataMata'!$A$2:$A$33,'Jogos_MataMata'!$B$2:$B$33,""))</x:f>
      </x:c>
      <x:c r="E366" s="22" t="str">
        <x:f>IF(C366="","",XLOOKUP(C366,'Jogos_MataMata'!$A$2:$A$33,'Jogos_MataMata'!$J$2:$J$33,""))</x:f>
      </x:c>
      <x:c r="F366" s="22" t="str">
        <x:f>IF(C366="","",XLOOKUP(C366,'Jogos_MataMata'!$A$2:$A$33,'Jogos_MataMata'!$K$2:$K$33,""))</x:f>
      </x:c>
      <x:c r="G366" s="22" t="str"/>
      <x:c r="H366" s="22" t="str"/>
      <x:c r="I366" s="22" t="str">
        <x:f>IF(AND(G366&lt;&gt;"",H366&lt;&gt;""),"SIM","NAO")</x:f>
        <x:v>NAO</x:v>
      </x:c>
      <x:c r="J366" s="23" t="str">
        <x:f>IF(OR(C366="",G366="",H366=""),"",LET(hs,XLOOKUP(C366,'Jogos_MataMata'!$A$2:$A$33,'Jogos_MataMata'!$O$2:$O$33,""),as,XLOOKUP(C366,'Jogos_MataMata'!$A$2:$A$33,'Jogos_MataMata'!$P$2:$P$33,""),win,XLOOKUP(C366,'Jogos_MataMata'!$A$2:$A$33,'Jogos_MataMata'!$Q$2:$Q$33,""),predWin,IF(G366&gt;H366,E366,IF(H366&gt;G366,F366,"")),IF(OR(hs="",as="",win=""),"",IF(predWin=win,IF(ABS(G366-H366)=ABS(hs-as),8,3),0))))</x:f>
      </x:c>
    </x:row>
    <x:row r="367">
      <x:c r="A367" s="21" t="str"/>
      <x:c r="B367" s="22" t="str"/>
      <x:c r="C367" s="22" t="str"/>
      <x:c r="D367" s="22" t="str">
        <x:f>IF(C367="","",XLOOKUP(C367,'Jogos_MataMata'!$A$2:$A$33,'Jogos_MataMata'!$B$2:$B$33,""))</x:f>
      </x:c>
      <x:c r="E367" s="22" t="str">
        <x:f>IF(C367="","",XLOOKUP(C367,'Jogos_MataMata'!$A$2:$A$33,'Jogos_MataMata'!$J$2:$J$33,""))</x:f>
      </x:c>
      <x:c r="F367" s="22" t="str">
        <x:f>IF(C367="","",XLOOKUP(C367,'Jogos_MataMata'!$A$2:$A$33,'Jogos_MataMata'!$K$2:$K$33,""))</x:f>
      </x:c>
      <x:c r="G367" s="22" t="str"/>
      <x:c r="H367" s="22" t="str"/>
      <x:c r="I367" s="22" t="str">
        <x:f>IF(AND(G367&lt;&gt;"",H367&lt;&gt;""),"SIM","NAO")</x:f>
        <x:v>NAO</x:v>
      </x:c>
      <x:c r="J367" s="23" t="str">
        <x:f>IF(OR(C367="",G367="",H367=""),"",LET(hs,XLOOKUP(C367,'Jogos_MataMata'!$A$2:$A$33,'Jogos_MataMata'!$O$2:$O$33,""),as,XLOOKUP(C367,'Jogos_MataMata'!$A$2:$A$33,'Jogos_MataMata'!$P$2:$P$33,""),win,XLOOKUP(C367,'Jogos_MataMata'!$A$2:$A$33,'Jogos_MataMata'!$Q$2:$Q$33,""),predWin,IF(G367&gt;H367,E367,IF(H367&gt;G367,F367,"")),IF(OR(hs="",as="",win=""),"",IF(predWin=win,IF(ABS(G367-H367)=ABS(hs-as),8,3),0))))</x:f>
      </x:c>
    </x:row>
    <x:row r="368">
      <x:c r="A368" s="21" t="str"/>
      <x:c r="B368" s="22" t="str"/>
      <x:c r="C368" s="22" t="str"/>
      <x:c r="D368" s="22" t="str">
        <x:f>IF(C368="","",XLOOKUP(C368,'Jogos_MataMata'!$A$2:$A$33,'Jogos_MataMata'!$B$2:$B$33,""))</x:f>
      </x:c>
      <x:c r="E368" s="22" t="str">
        <x:f>IF(C368="","",XLOOKUP(C368,'Jogos_MataMata'!$A$2:$A$33,'Jogos_MataMata'!$J$2:$J$33,""))</x:f>
      </x:c>
      <x:c r="F368" s="22" t="str">
        <x:f>IF(C368="","",XLOOKUP(C368,'Jogos_MataMata'!$A$2:$A$33,'Jogos_MataMata'!$K$2:$K$33,""))</x:f>
      </x:c>
      <x:c r="G368" s="22" t="str"/>
      <x:c r="H368" s="22" t="str"/>
      <x:c r="I368" s="22" t="str">
        <x:f>IF(AND(G368&lt;&gt;"",H368&lt;&gt;""),"SIM","NAO")</x:f>
        <x:v>NAO</x:v>
      </x:c>
      <x:c r="J368" s="23" t="str">
        <x:f>IF(OR(C368="",G368="",H368=""),"",LET(hs,XLOOKUP(C368,'Jogos_MataMata'!$A$2:$A$33,'Jogos_MataMata'!$O$2:$O$33,""),as,XLOOKUP(C368,'Jogos_MataMata'!$A$2:$A$33,'Jogos_MataMata'!$P$2:$P$33,""),win,XLOOKUP(C368,'Jogos_MataMata'!$A$2:$A$33,'Jogos_MataMata'!$Q$2:$Q$33,""),predWin,IF(G368&gt;H368,E368,IF(H368&gt;G368,F368,"")),IF(OR(hs="",as="",win=""),"",IF(predWin=win,IF(ABS(G368-H368)=ABS(hs-as),8,3),0))))</x:f>
      </x:c>
    </x:row>
    <x:row r="369">
      <x:c r="A369" s="21" t="str"/>
      <x:c r="B369" s="22" t="str"/>
      <x:c r="C369" s="22" t="str"/>
      <x:c r="D369" s="22" t="str">
        <x:f>IF(C369="","",XLOOKUP(C369,'Jogos_MataMata'!$A$2:$A$33,'Jogos_MataMata'!$B$2:$B$33,""))</x:f>
      </x:c>
      <x:c r="E369" s="22" t="str">
        <x:f>IF(C369="","",XLOOKUP(C369,'Jogos_MataMata'!$A$2:$A$33,'Jogos_MataMata'!$J$2:$J$33,""))</x:f>
      </x:c>
      <x:c r="F369" s="22" t="str">
        <x:f>IF(C369="","",XLOOKUP(C369,'Jogos_MataMata'!$A$2:$A$33,'Jogos_MataMata'!$K$2:$K$33,""))</x:f>
      </x:c>
      <x:c r="G369" s="22" t="str"/>
      <x:c r="H369" s="22" t="str"/>
      <x:c r="I369" s="22" t="str">
        <x:f>IF(AND(G369&lt;&gt;"",H369&lt;&gt;""),"SIM","NAO")</x:f>
        <x:v>NAO</x:v>
      </x:c>
      <x:c r="J369" s="23" t="str">
        <x:f>IF(OR(C369="",G369="",H369=""),"",LET(hs,XLOOKUP(C369,'Jogos_MataMata'!$A$2:$A$33,'Jogos_MataMata'!$O$2:$O$33,""),as,XLOOKUP(C369,'Jogos_MataMata'!$A$2:$A$33,'Jogos_MataMata'!$P$2:$P$33,""),win,XLOOKUP(C369,'Jogos_MataMata'!$A$2:$A$33,'Jogos_MataMata'!$Q$2:$Q$33,""),predWin,IF(G369&gt;H369,E369,IF(H369&gt;G369,F369,"")),IF(OR(hs="",as="",win=""),"",IF(predWin=win,IF(ABS(G369-H369)=ABS(hs-as),8,3),0))))</x:f>
      </x:c>
    </x:row>
    <x:row r="370">
      <x:c r="A370" s="21" t="str"/>
      <x:c r="B370" s="22" t="str"/>
      <x:c r="C370" s="22" t="str"/>
      <x:c r="D370" s="22" t="str">
        <x:f>IF(C370="","",XLOOKUP(C370,'Jogos_MataMata'!$A$2:$A$33,'Jogos_MataMata'!$B$2:$B$33,""))</x:f>
      </x:c>
      <x:c r="E370" s="22" t="str">
        <x:f>IF(C370="","",XLOOKUP(C370,'Jogos_MataMata'!$A$2:$A$33,'Jogos_MataMata'!$J$2:$J$33,""))</x:f>
      </x:c>
      <x:c r="F370" s="22" t="str">
        <x:f>IF(C370="","",XLOOKUP(C370,'Jogos_MataMata'!$A$2:$A$33,'Jogos_MataMata'!$K$2:$K$33,""))</x:f>
      </x:c>
      <x:c r="G370" s="22" t="str"/>
      <x:c r="H370" s="22" t="str"/>
      <x:c r="I370" s="22" t="str">
        <x:f>IF(AND(G370&lt;&gt;"",H370&lt;&gt;""),"SIM","NAO")</x:f>
        <x:v>NAO</x:v>
      </x:c>
      <x:c r="J370" s="23" t="str">
        <x:f>IF(OR(C370="",G370="",H370=""),"",LET(hs,XLOOKUP(C370,'Jogos_MataMata'!$A$2:$A$33,'Jogos_MataMata'!$O$2:$O$33,""),as,XLOOKUP(C370,'Jogos_MataMata'!$A$2:$A$33,'Jogos_MataMata'!$P$2:$P$33,""),win,XLOOKUP(C370,'Jogos_MataMata'!$A$2:$A$33,'Jogos_MataMata'!$Q$2:$Q$33,""),predWin,IF(G370&gt;H370,E370,IF(H370&gt;G370,F370,"")),IF(OR(hs="",as="",win=""),"",IF(predWin=win,IF(ABS(G370-H370)=ABS(hs-as),8,3),0))))</x:f>
      </x:c>
    </x:row>
    <x:row r="371">
      <x:c r="A371" s="21" t="str"/>
      <x:c r="B371" s="22" t="str"/>
      <x:c r="C371" s="22" t="str"/>
      <x:c r="D371" s="22" t="str">
        <x:f>IF(C371="","",XLOOKUP(C371,'Jogos_MataMata'!$A$2:$A$33,'Jogos_MataMata'!$B$2:$B$33,""))</x:f>
      </x:c>
      <x:c r="E371" s="22" t="str">
        <x:f>IF(C371="","",XLOOKUP(C371,'Jogos_MataMata'!$A$2:$A$33,'Jogos_MataMata'!$J$2:$J$33,""))</x:f>
      </x:c>
      <x:c r="F371" s="22" t="str">
        <x:f>IF(C371="","",XLOOKUP(C371,'Jogos_MataMata'!$A$2:$A$33,'Jogos_MataMata'!$K$2:$K$33,""))</x:f>
      </x:c>
      <x:c r="G371" s="22" t="str"/>
      <x:c r="H371" s="22" t="str"/>
      <x:c r="I371" s="22" t="str">
        <x:f>IF(AND(G371&lt;&gt;"",H371&lt;&gt;""),"SIM","NAO")</x:f>
        <x:v>NAO</x:v>
      </x:c>
      <x:c r="J371" s="23" t="str">
        <x:f>IF(OR(C371="",G371="",H371=""),"",LET(hs,XLOOKUP(C371,'Jogos_MataMata'!$A$2:$A$33,'Jogos_MataMata'!$O$2:$O$33,""),as,XLOOKUP(C371,'Jogos_MataMata'!$A$2:$A$33,'Jogos_MataMata'!$P$2:$P$33,""),win,XLOOKUP(C371,'Jogos_MataMata'!$A$2:$A$33,'Jogos_MataMata'!$Q$2:$Q$33,""),predWin,IF(G371&gt;H371,E371,IF(H371&gt;G371,F371,"")),IF(OR(hs="",as="",win=""),"",IF(predWin=win,IF(ABS(G371-H371)=ABS(hs-as),8,3),0))))</x:f>
      </x:c>
    </x:row>
    <x:row r="372">
      <x:c r="A372" s="21" t="str"/>
      <x:c r="B372" s="22" t="str"/>
      <x:c r="C372" s="22" t="str"/>
      <x:c r="D372" s="22" t="str">
        <x:f>IF(C372="","",XLOOKUP(C372,'Jogos_MataMata'!$A$2:$A$33,'Jogos_MataMata'!$B$2:$B$33,""))</x:f>
      </x:c>
      <x:c r="E372" s="22" t="str">
        <x:f>IF(C372="","",XLOOKUP(C372,'Jogos_MataMata'!$A$2:$A$33,'Jogos_MataMata'!$J$2:$J$33,""))</x:f>
      </x:c>
      <x:c r="F372" s="22" t="str">
        <x:f>IF(C372="","",XLOOKUP(C372,'Jogos_MataMata'!$A$2:$A$33,'Jogos_MataMata'!$K$2:$K$33,""))</x:f>
      </x:c>
      <x:c r="G372" s="22" t="str"/>
      <x:c r="H372" s="22" t="str"/>
      <x:c r="I372" s="22" t="str">
        <x:f>IF(AND(G372&lt;&gt;"",H372&lt;&gt;""),"SIM","NAO")</x:f>
        <x:v>NAO</x:v>
      </x:c>
      <x:c r="J372" s="23" t="str">
        <x:f>IF(OR(C372="",G372="",H372=""),"",LET(hs,XLOOKUP(C372,'Jogos_MataMata'!$A$2:$A$33,'Jogos_MataMata'!$O$2:$O$33,""),as,XLOOKUP(C372,'Jogos_MataMata'!$A$2:$A$33,'Jogos_MataMata'!$P$2:$P$33,""),win,XLOOKUP(C372,'Jogos_MataMata'!$A$2:$A$33,'Jogos_MataMata'!$Q$2:$Q$33,""),predWin,IF(G372&gt;H372,E372,IF(H372&gt;G372,F372,"")),IF(OR(hs="",as="",win=""),"",IF(predWin=win,IF(ABS(G372-H372)=ABS(hs-as),8,3),0))))</x:f>
      </x:c>
    </x:row>
    <x:row r="373">
      <x:c r="A373" s="21" t="str"/>
      <x:c r="B373" s="22" t="str"/>
      <x:c r="C373" s="22" t="str"/>
      <x:c r="D373" s="22" t="str">
        <x:f>IF(C373="","",XLOOKUP(C373,'Jogos_MataMata'!$A$2:$A$33,'Jogos_MataMata'!$B$2:$B$33,""))</x:f>
      </x:c>
      <x:c r="E373" s="22" t="str">
        <x:f>IF(C373="","",XLOOKUP(C373,'Jogos_MataMata'!$A$2:$A$33,'Jogos_MataMata'!$J$2:$J$33,""))</x:f>
      </x:c>
      <x:c r="F373" s="22" t="str">
        <x:f>IF(C373="","",XLOOKUP(C373,'Jogos_MataMata'!$A$2:$A$33,'Jogos_MataMata'!$K$2:$K$33,""))</x:f>
      </x:c>
      <x:c r="G373" s="22" t="str"/>
      <x:c r="H373" s="22" t="str"/>
      <x:c r="I373" s="22" t="str">
        <x:f>IF(AND(G373&lt;&gt;"",H373&lt;&gt;""),"SIM","NAO")</x:f>
        <x:v>NAO</x:v>
      </x:c>
      <x:c r="J373" s="23" t="str">
        <x:f>IF(OR(C373="",G373="",H373=""),"",LET(hs,XLOOKUP(C373,'Jogos_MataMata'!$A$2:$A$33,'Jogos_MataMata'!$O$2:$O$33,""),as,XLOOKUP(C373,'Jogos_MataMata'!$A$2:$A$33,'Jogos_MataMata'!$P$2:$P$33,""),win,XLOOKUP(C373,'Jogos_MataMata'!$A$2:$A$33,'Jogos_MataMata'!$Q$2:$Q$33,""),predWin,IF(G373&gt;H373,E373,IF(H373&gt;G373,F373,"")),IF(OR(hs="",as="",win=""),"",IF(predWin=win,IF(ABS(G373-H373)=ABS(hs-as),8,3),0))))</x:f>
      </x:c>
    </x:row>
    <x:row r="374">
      <x:c r="A374" s="21" t="str"/>
      <x:c r="B374" s="22" t="str"/>
      <x:c r="C374" s="22" t="str"/>
      <x:c r="D374" s="22" t="str">
        <x:f>IF(C374="","",XLOOKUP(C374,'Jogos_MataMata'!$A$2:$A$33,'Jogos_MataMata'!$B$2:$B$33,""))</x:f>
      </x:c>
      <x:c r="E374" s="22" t="str">
        <x:f>IF(C374="","",XLOOKUP(C374,'Jogos_MataMata'!$A$2:$A$33,'Jogos_MataMata'!$J$2:$J$33,""))</x:f>
      </x:c>
      <x:c r="F374" s="22" t="str">
        <x:f>IF(C374="","",XLOOKUP(C374,'Jogos_MataMata'!$A$2:$A$33,'Jogos_MataMata'!$K$2:$K$33,""))</x:f>
      </x:c>
      <x:c r="G374" s="22" t="str"/>
      <x:c r="H374" s="22" t="str"/>
      <x:c r="I374" s="22" t="str">
        <x:f>IF(AND(G374&lt;&gt;"",H374&lt;&gt;""),"SIM","NAO")</x:f>
        <x:v>NAO</x:v>
      </x:c>
      <x:c r="J374" s="23" t="str">
        <x:f>IF(OR(C374="",G374="",H374=""),"",LET(hs,XLOOKUP(C374,'Jogos_MataMata'!$A$2:$A$33,'Jogos_MataMata'!$O$2:$O$33,""),as,XLOOKUP(C374,'Jogos_MataMata'!$A$2:$A$33,'Jogos_MataMata'!$P$2:$P$33,""),win,XLOOKUP(C374,'Jogos_MataMata'!$A$2:$A$33,'Jogos_MataMata'!$Q$2:$Q$33,""),predWin,IF(G374&gt;H374,E374,IF(H374&gt;G374,F374,"")),IF(OR(hs="",as="",win=""),"",IF(predWin=win,IF(ABS(G374-H374)=ABS(hs-as),8,3),0))))</x:f>
      </x:c>
    </x:row>
    <x:row r="375">
      <x:c r="A375" s="21" t="str"/>
      <x:c r="B375" s="22" t="str"/>
      <x:c r="C375" s="22" t="str"/>
      <x:c r="D375" s="22" t="str">
        <x:f>IF(C375="","",XLOOKUP(C375,'Jogos_MataMata'!$A$2:$A$33,'Jogos_MataMata'!$B$2:$B$33,""))</x:f>
      </x:c>
      <x:c r="E375" s="22" t="str">
        <x:f>IF(C375="","",XLOOKUP(C375,'Jogos_MataMata'!$A$2:$A$33,'Jogos_MataMata'!$J$2:$J$33,""))</x:f>
      </x:c>
      <x:c r="F375" s="22" t="str">
        <x:f>IF(C375="","",XLOOKUP(C375,'Jogos_MataMata'!$A$2:$A$33,'Jogos_MataMata'!$K$2:$K$33,""))</x:f>
      </x:c>
      <x:c r="G375" s="22" t="str"/>
      <x:c r="H375" s="22" t="str"/>
      <x:c r="I375" s="22" t="str">
        <x:f>IF(AND(G375&lt;&gt;"",H375&lt;&gt;""),"SIM","NAO")</x:f>
        <x:v>NAO</x:v>
      </x:c>
      <x:c r="J375" s="23" t="str">
        <x:f>IF(OR(C375="",G375="",H375=""),"",LET(hs,XLOOKUP(C375,'Jogos_MataMata'!$A$2:$A$33,'Jogos_MataMata'!$O$2:$O$33,""),as,XLOOKUP(C375,'Jogos_MataMata'!$A$2:$A$33,'Jogos_MataMata'!$P$2:$P$33,""),win,XLOOKUP(C375,'Jogos_MataMata'!$A$2:$A$33,'Jogos_MataMata'!$Q$2:$Q$33,""),predWin,IF(G375&gt;H375,E375,IF(H375&gt;G375,F375,"")),IF(OR(hs="",as="",win=""),"",IF(predWin=win,IF(ABS(G375-H375)=ABS(hs-as),8,3),0))))</x:f>
      </x:c>
    </x:row>
    <x:row r="376">
      <x:c r="A376" s="21" t="str"/>
      <x:c r="B376" s="22" t="str"/>
      <x:c r="C376" s="22" t="str"/>
      <x:c r="D376" s="22" t="str">
        <x:f>IF(C376="","",XLOOKUP(C376,'Jogos_MataMata'!$A$2:$A$33,'Jogos_MataMata'!$B$2:$B$33,""))</x:f>
      </x:c>
      <x:c r="E376" s="22" t="str">
        <x:f>IF(C376="","",XLOOKUP(C376,'Jogos_MataMata'!$A$2:$A$33,'Jogos_MataMata'!$J$2:$J$33,""))</x:f>
      </x:c>
      <x:c r="F376" s="22" t="str">
        <x:f>IF(C376="","",XLOOKUP(C376,'Jogos_MataMata'!$A$2:$A$33,'Jogos_MataMata'!$K$2:$K$33,""))</x:f>
      </x:c>
      <x:c r="G376" s="22" t="str"/>
      <x:c r="H376" s="22" t="str"/>
      <x:c r="I376" s="22" t="str">
        <x:f>IF(AND(G376&lt;&gt;"",H376&lt;&gt;""),"SIM","NAO")</x:f>
        <x:v>NAO</x:v>
      </x:c>
      <x:c r="J376" s="23" t="str">
        <x:f>IF(OR(C376="",G376="",H376=""),"",LET(hs,XLOOKUP(C376,'Jogos_MataMata'!$A$2:$A$33,'Jogos_MataMata'!$O$2:$O$33,""),as,XLOOKUP(C376,'Jogos_MataMata'!$A$2:$A$33,'Jogos_MataMata'!$P$2:$P$33,""),win,XLOOKUP(C376,'Jogos_MataMata'!$A$2:$A$33,'Jogos_MataMata'!$Q$2:$Q$33,""),predWin,IF(G376&gt;H376,E376,IF(H376&gt;G376,F376,"")),IF(OR(hs="",as="",win=""),"",IF(predWin=win,IF(ABS(G376-H376)=ABS(hs-as),8,3),0))))</x:f>
      </x:c>
    </x:row>
    <x:row r="377">
      <x:c r="A377" s="21" t="str"/>
      <x:c r="B377" s="22" t="str"/>
      <x:c r="C377" s="22" t="str"/>
      <x:c r="D377" s="22" t="str">
        <x:f>IF(C377="","",XLOOKUP(C377,'Jogos_MataMata'!$A$2:$A$33,'Jogos_MataMata'!$B$2:$B$33,""))</x:f>
      </x:c>
      <x:c r="E377" s="22" t="str">
        <x:f>IF(C377="","",XLOOKUP(C377,'Jogos_MataMata'!$A$2:$A$33,'Jogos_MataMata'!$J$2:$J$33,""))</x:f>
      </x:c>
      <x:c r="F377" s="22" t="str">
        <x:f>IF(C377="","",XLOOKUP(C377,'Jogos_MataMata'!$A$2:$A$33,'Jogos_MataMata'!$K$2:$K$33,""))</x:f>
      </x:c>
      <x:c r="G377" s="22" t="str"/>
      <x:c r="H377" s="22" t="str"/>
      <x:c r="I377" s="22" t="str">
        <x:f>IF(AND(G377&lt;&gt;"",H377&lt;&gt;""),"SIM","NAO")</x:f>
        <x:v>NAO</x:v>
      </x:c>
      <x:c r="J377" s="23" t="str">
        <x:f>IF(OR(C377="",G377="",H377=""),"",LET(hs,XLOOKUP(C377,'Jogos_MataMata'!$A$2:$A$33,'Jogos_MataMata'!$O$2:$O$33,""),as,XLOOKUP(C377,'Jogos_MataMata'!$A$2:$A$33,'Jogos_MataMata'!$P$2:$P$33,""),win,XLOOKUP(C377,'Jogos_MataMata'!$A$2:$A$33,'Jogos_MataMata'!$Q$2:$Q$33,""),predWin,IF(G377&gt;H377,E377,IF(H377&gt;G377,F377,"")),IF(OR(hs="",as="",win=""),"",IF(predWin=win,IF(ABS(G377-H377)=ABS(hs-as),8,3),0))))</x:f>
      </x:c>
    </x:row>
    <x:row r="378">
      <x:c r="A378" s="21" t="str"/>
      <x:c r="B378" s="22" t="str"/>
      <x:c r="C378" s="22" t="str"/>
      <x:c r="D378" s="22" t="str">
        <x:f>IF(C378="","",XLOOKUP(C378,'Jogos_MataMata'!$A$2:$A$33,'Jogos_MataMata'!$B$2:$B$33,""))</x:f>
      </x:c>
      <x:c r="E378" s="22" t="str">
        <x:f>IF(C378="","",XLOOKUP(C378,'Jogos_MataMata'!$A$2:$A$33,'Jogos_MataMata'!$J$2:$J$33,""))</x:f>
      </x:c>
      <x:c r="F378" s="22" t="str">
        <x:f>IF(C378="","",XLOOKUP(C378,'Jogos_MataMata'!$A$2:$A$33,'Jogos_MataMata'!$K$2:$K$33,""))</x:f>
      </x:c>
      <x:c r="G378" s="22" t="str"/>
      <x:c r="H378" s="22" t="str"/>
      <x:c r="I378" s="22" t="str">
        <x:f>IF(AND(G378&lt;&gt;"",H378&lt;&gt;""),"SIM","NAO")</x:f>
        <x:v>NAO</x:v>
      </x:c>
      <x:c r="J378" s="23" t="str">
        <x:f>IF(OR(C378="",G378="",H378=""),"",LET(hs,XLOOKUP(C378,'Jogos_MataMata'!$A$2:$A$33,'Jogos_MataMata'!$O$2:$O$33,""),as,XLOOKUP(C378,'Jogos_MataMata'!$A$2:$A$33,'Jogos_MataMata'!$P$2:$P$33,""),win,XLOOKUP(C378,'Jogos_MataMata'!$A$2:$A$33,'Jogos_MataMata'!$Q$2:$Q$33,""),predWin,IF(G378&gt;H378,E378,IF(H378&gt;G378,F378,"")),IF(OR(hs="",as="",win=""),"",IF(predWin=win,IF(ABS(G378-H378)=ABS(hs-as),8,3),0))))</x:f>
      </x:c>
    </x:row>
    <x:row r="379">
      <x:c r="A379" s="21" t="str"/>
      <x:c r="B379" s="22" t="str"/>
      <x:c r="C379" s="22" t="str"/>
      <x:c r="D379" s="22" t="str">
        <x:f>IF(C379="","",XLOOKUP(C379,'Jogos_MataMata'!$A$2:$A$33,'Jogos_MataMata'!$B$2:$B$33,""))</x:f>
      </x:c>
      <x:c r="E379" s="22" t="str">
        <x:f>IF(C379="","",XLOOKUP(C379,'Jogos_MataMata'!$A$2:$A$33,'Jogos_MataMata'!$J$2:$J$33,""))</x:f>
      </x:c>
      <x:c r="F379" s="22" t="str">
        <x:f>IF(C379="","",XLOOKUP(C379,'Jogos_MataMata'!$A$2:$A$33,'Jogos_MataMata'!$K$2:$K$33,""))</x:f>
      </x:c>
      <x:c r="G379" s="22" t="str"/>
      <x:c r="H379" s="22" t="str"/>
      <x:c r="I379" s="22" t="str">
        <x:f>IF(AND(G379&lt;&gt;"",H379&lt;&gt;""),"SIM","NAO")</x:f>
        <x:v>NAO</x:v>
      </x:c>
      <x:c r="J379" s="23" t="str">
        <x:f>IF(OR(C379="",G379="",H379=""),"",LET(hs,XLOOKUP(C379,'Jogos_MataMata'!$A$2:$A$33,'Jogos_MataMata'!$O$2:$O$33,""),as,XLOOKUP(C379,'Jogos_MataMata'!$A$2:$A$33,'Jogos_MataMata'!$P$2:$P$33,""),win,XLOOKUP(C379,'Jogos_MataMata'!$A$2:$A$33,'Jogos_MataMata'!$Q$2:$Q$33,""),predWin,IF(G379&gt;H379,E379,IF(H379&gt;G379,F379,"")),IF(OR(hs="",as="",win=""),"",IF(predWin=win,IF(ABS(G379-H379)=ABS(hs-as),8,3),0))))</x:f>
      </x:c>
    </x:row>
    <x:row r="380">
      <x:c r="A380" s="21" t="str"/>
      <x:c r="B380" s="22" t="str"/>
      <x:c r="C380" s="22" t="str"/>
      <x:c r="D380" s="22" t="str">
        <x:f>IF(C380="","",XLOOKUP(C380,'Jogos_MataMata'!$A$2:$A$33,'Jogos_MataMata'!$B$2:$B$33,""))</x:f>
      </x:c>
      <x:c r="E380" s="22" t="str">
        <x:f>IF(C380="","",XLOOKUP(C380,'Jogos_MataMata'!$A$2:$A$33,'Jogos_MataMata'!$J$2:$J$33,""))</x:f>
      </x:c>
      <x:c r="F380" s="22" t="str">
        <x:f>IF(C380="","",XLOOKUP(C380,'Jogos_MataMata'!$A$2:$A$33,'Jogos_MataMata'!$K$2:$K$33,""))</x:f>
      </x:c>
      <x:c r="G380" s="22" t="str"/>
      <x:c r="H380" s="22" t="str"/>
      <x:c r="I380" s="22" t="str">
        <x:f>IF(AND(G380&lt;&gt;"",H380&lt;&gt;""),"SIM","NAO")</x:f>
        <x:v>NAO</x:v>
      </x:c>
      <x:c r="J380" s="23" t="str">
        <x:f>IF(OR(C380="",G380="",H380=""),"",LET(hs,XLOOKUP(C380,'Jogos_MataMata'!$A$2:$A$33,'Jogos_MataMata'!$O$2:$O$33,""),as,XLOOKUP(C380,'Jogos_MataMata'!$A$2:$A$33,'Jogos_MataMata'!$P$2:$P$33,""),win,XLOOKUP(C380,'Jogos_MataMata'!$A$2:$A$33,'Jogos_MataMata'!$Q$2:$Q$33,""),predWin,IF(G380&gt;H380,E380,IF(H380&gt;G380,F380,"")),IF(OR(hs="",as="",win=""),"",IF(predWin=win,IF(ABS(G380-H380)=ABS(hs-as),8,3),0))))</x:f>
      </x:c>
    </x:row>
    <x:row r="381">
      <x:c r="A381" s="21" t="str"/>
      <x:c r="B381" s="22" t="str"/>
      <x:c r="C381" s="22" t="str"/>
      <x:c r="D381" s="22" t="str">
        <x:f>IF(C381="","",XLOOKUP(C381,'Jogos_MataMata'!$A$2:$A$33,'Jogos_MataMata'!$B$2:$B$33,""))</x:f>
      </x:c>
      <x:c r="E381" s="22" t="str">
        <x:f>IF(C381="","",XLOOKUP(C381,'Jogos_MataMata'!$A$2:$A$33,'Jogos_MataMata'!$J$2:$J$33,""))</x:f>
      </x:c>
      <x:c r="F381" s="22" t="str">
        <x:f>IF(C381="","",XLOOKUP(C381,'Jogos_MataMata'!$A$2:$A$33,'Jogos_MataMata'!$K$2:$K$33,""))</x:f>
      </x:c>
      <x:c r="G381" s="22" t="str"/>
      <x:c r="H381" s="22" t="str"/>
      <x:c r="I381" s="22" t="str">
        <x:f>IF(AND(G381&lt;&gt;"",H381&lt;&gt;""),"SIM","NAO")</x:f>
        <x:v>NAO</x:v>
      </x:c>
      <x:c r="J381" s="23" t="str">
        <x:f>IF(OR(C381="",G381="",H381=""),"",LET(hs,XLOOKUP(C381,'Jogos_MataMata'!$A$2:$A$33,'Jogos_MataMata'!$O$2:$O$33,""),as,XLOOKUP(C381,'Jogos_MataMata'!$A$2:$A$33,'Jogos_MataMata'!$P$2:$P$33,""),win,XLOOKUP(C381,'Jogos_MataMata'!$A$2:$A$33,'Jogos_MataMata'!$Q$2:$Q$33,""),predWin,IF(G381&gt;H381,E381,IF(H381&gt;G381,F381,"")),IF(OR(hs="",as="",win=""),"",IF(predWin=win,IF(ABS(G381-H381)=ABS(hs-as),8,3),0))))</x:f>
      </x:c>
    </x:row>
    <x:row r="382">
      <x:c r="A382" s="21" t="str"/>
      <x:c r="B382" s="22" t="str"/>
      <x:c r="C382" s="22" t="str"/>
      <x:c r="D382" s="22" t="str">
        <x:f>IF(C382="","",XLOOKUP(C382,'Jogos_MataMata'!$A$2:$A$33,'Jogos_MataMata'!$B$2:$B$33,""))</x:f>
      </x:c>
      <x:c r="E382" s="22" t="str">
        <x:f>IF(C382="","",XLOOKUP(C382,'Jogos_MataMata'!$A$2:$A$33,'Jogos_MataMata'!$J$2:$J$33,""))</x:f>
      </x:c>
      <x:c r="F382" s="22" t="str">
        <x:f>IF(C382="","",XLOOKUP(C382,'Jogos_MataMata'!$A$2:$A$33,'Jogos_MataMata'!$K$2:$K$33,""))</x:f>
      </x:c>
      <x:c r="G382" s="22" t="str"/>
      <x:c r="H382" s="22" t="str"/>
      <x:c r="I382" s="22" t="str">
        <x:f>IF(AND(G382&lt;&gt;"",H382&lt;&gt;""),"SIM","NAO")</x:f>
        <x:v>NAO</x:v>
      </x:c>
      <x:c r="J382" s="23" t="str">
        <x:f>IF(OR(C382="",G382="",H382=""),"",LET(hs,XLOOKUP(C382,'Jogos_MataMata'!$A$2:$A$33,'Jogos_MataMata'!$O$2:$O$33,""),as,XLOOKUP(C382,'Jogos_MataMata'!$A$2:$A$33,'Jogos_MataMata'!$P$2:$P$33,""),win,XLOOKUP(C382,'Jogos_MataMata'!$A$2:$A$33,'Jogos_MataMata'!$Q$2:$Q$33,""),predWin,IF(G382&gt;H382,E382,IF(H382&gt;G382,F382,"")),IF(OR(hs="",as="",win=""),"",IF(predWin=win,IF(ABS(G382-H382)=ABS(hs-as),8,3),0))))</x:f>
      </x:c>
    </x:row>
    <x:row r="383">
      <x:c r="A383" s="21" t="str"/>
      <x:c r="B383" s="22" t="str"/>
      <x:c r="C383" s="22" t="str"/>
      <x:c r="D383" s="22" t="str">
        <x:f>IF(C383="","",XLOOKUP(C383,'Jogos_MataMata'!$A$2:$A$33,'Jogos_MataMata'!$B$2:$B$33,""))</x:f>
      </x:c>
      <x:c r="E383" s="22" t="str">
        <x:f>IF(C383="","",XLOOKUP(C383,'Jogos_MataMata'!$A$2:$A$33,'Jogos_MataMata'!$J$2:$J$33,""))</x:f>
      </x:c>
      <x:c r="F383" s="22" t="str">
        <x:f>IF(C383="","",XLOOKUP(C383,'Jogos_MataMata'!$A$2:$A$33,'Jogos_MataMata'!$K$2:$K$33,""))</x:f>
      </x:c>
      <x:c r="G383" s="22" t="str"/>
      <x:c r="H383" s="22" t="str"/>
      <x:c r="I383" s="22" t="str">
        <x:f>IF(AND(G383&lt;&gt;"",H383&lt;&gt;""),"SIM","NAO")</x:f>
        <x:v>NAO</x:v>
      </x:c>
      <x:c r="J383" s="23" t="str">
        <x:f>IF(OR(C383="",G383="",H383=""),"",LET(hs,XLOOKUP(C383,'Jogos_MataMata'!$A$2:$A$33,'Jogos_MataMata'!$O$2:$O$33,""),as,XLOOKUP(C383,'Jogos_MataMata'!$A$2:$A$33,'Jogos_MataMata'!$P$2:$P$33,""),win,XLOOKUP(C383,'Jogos_MataMata'!$A$2:$A$33,'Jogos_MataMata'!$Q$2:$Q$33,""),predWin,IF(G383&gt;H383,E383,IF(H383&gt;G383,F383,"")),IF(OR(hs="",as="",win=""),"",IF(predWin=win,IF(ABS(G383-H383)=ABS(hs-as),8,3),0))))</x:f>
      </x:c>
    </x:row>
    <x:row r="384">
      <x:c r="A384" s="21" t="str"/>
      <x:c r="B384" s="22" t="str"/>
      <x:c r="C384" s="22" t="str"/>
      <x:c r="D384" s="22" t="str">
        <x:f>IF(C384="","",XLOOKUP(C384,'Jogos_MataMata'!$A$2:$A$33,'Jogos_MataMata'!$B$2:$B$33,""))</x:f>
      </x:c>
      <x:c r="E384" s="22" t="str">
        <x:f>IF(C384="","",XLOOKUP(C384,'Jogos_MataMata'!$A$2:$A$33,'Jogos_MataMata'!$J$2:$J$33,""))</x:f>
      </x:c>
      <x:c r="F384" s="22" t="str">
        <x:f>IF(C384="","",XLOOKUP(C384,'Jogos_MataMata'!$A$2:$A$33,'Jogos_MataMata'!$K$2:$K$33,""))</x:f>
      </x:c>
      <x:c r="G384" s="22" t="str"/>
      <x:c r="H384" s="22" t="str"/>
      <x:c r="I384" s="22" t="str">
        <x:f>IF(AND(G384&lt;&gt;"",H384&lt;&gt;""),"SIM","NAO")</x:f>
        <x:v>NAO</x:v>
      </x:c>
      <x:c r="J384" s="23" t="str">
        <x:f>IF(OR(C384="",G384="",H384=""),"",LET(hs,XLOOKUP(C384,'Jogos_MataMata'!$A$2:$A$33,'Jogos_MataMata'!$O$2:$O$33,""),as,XLOOKUP(C384,'Jogos_MataMata'!$A$2:$A$33,'Jogos_MataMata'!$P$2:$P$33,""),win,XLOOKUP(C384,'Jogos_MataMata'!$A$2:$A$33,'Jogos_MataMata'!$Q$2:$Q$33,""),predWin,IF(G384&gt;H384,E384,IF(H384&gt;G384,F384,"")),IF(OR(hs="",as="",win=""),"",IF(predWin=win,IF(ABS(G384-H384)=ABS(hs-as),8,3),0))))</x:f>
      </x:c>
    </x:row>
    <x:row r="385">
      <x:c r="A385" s="21" t="str"/>
      <x:c r="B385" s="22" t="str"/>
      <x:c r="C385" s="22" t="str"/>
      <x:c r="D385" s="22" t="str">
        <x:f>IF(C385="","",XLOOKUP(C385,'Jogos_MataMata'!$A$2:$A$33,'Jogos_MataMata'!$B$2:$B$33,""))</x:f>
      </x:c>
      <x:c r="E385" s="22" t="str">
        <x:f>IF(C385="","",XLOOKUP(C385,'Jogos_MataMata'!$A$2:$A$33,'Jogos_MataMata'!$J$2:$J$33,""))</x:f>
      </x:c>
      <x:c r="F385" s="22" t="str">
        <x:f>IF(C385="","",XLOOKUP(C385,'Jogos_MataMata'!$A$2:$A$33,'Jogos_MataMata'!$K$2:$K$33,""))</x:f>
      </x:c>
      <x:c r="G385" s="22" t="str"/>
      <x:c r="H385" s="22" t="str"/>
      <x:c r="I385" s="22" t="str">
        <x:f>IF(AND(G385&lt;&gt;"",H385&lt;&gt;""),"SIM","NAO")</x:f>
        <x:v>NAO</x:v>
      </x:c>
      <x:c r="J385" s="23" t="str">
        <x:f>IF(OR(C385="",G385="",H385=""),"",LET(hs,XLOOKUP(C385,'Jogos_MataMata'!$A$2:$A$33,'Jogos_MataMata'!$O$2:$O$33,""),as,XLOOKUP(C385,'Jogos_MataMata'!$A$2:$A$33,'Jogos_MataMata'!$P$2:$P$33,""),win,XLOOKUP(C385,'Jogos_MataMata'!$A$2:$A$33,'Jogos_MataMata'!$Q$2:$Q$33,""),predWin,IF(G385&gt;H385,E385,IF(H385&gt;G385,F385,"")),IF(OR(hs="",as="",win=""),"",IF(predWin=win,IF(ABS(G385-H385)=ABS(hs-as),8,3),0))))</x:f>
      </x:c>
    </x:row>
    <x:row r="386">
      <x:c r="A386" s="21" t="str"/>
      <x:c r="B386" s="22" t="str"/>
      <x:c r="C386" s="22" t="str"/>
      <x:c r="D386" s="22" t="str">
        <x:f>IF(C386="","",XLOOKUP(C386,'Jogos_MataMata'!$A$2:$A$33,'Jogos_MataMata'!$B$2:$B$33,""))</x:f>
      </x:c>
      <x:c r="E386" s="22" t="str">
        <x:f>IF(C386="","",XLOOKUP(C386,'Jogos_MataMata'!$A$2:$A$33,'Jogos_MataMata'!$J$2:$J$33,""))</x:f>
      </x:c>
      <x:c r="F386" s="22" t="str">
        <x:f>IF(C386="","",XLOOKUP(C386,'Jogos_MataMata'!$A$2:$A$33,'Jogos_MataMata'!$K$2:$K$33,""))</x:f>
      </x:c>
      <x:c r="G386" s="22" t="str"/>
      <x:c r="H386" s="22" t="str"/>
      <x:c r="I386" s="22" t="str">
        <x:f>IF(AND(G386&lt;&gt;"",H386&lt;&gt;""),"SIM","NAO")</x:f>
        <x:v>NAO</x:v>
      </x:c>
      <x:c r="J386" s="23" t="str">
        <x:f>IF(OR(C386="",G386="",H386=""),"",LET(hs,XLOOKUP(C386,'Jogos_MataMata'!$A$2:$A$33,'Jogos_MataMata'!$O$2:$O$33,""),as,XLOOKUP(C386,'Jogos_MataMata'!$A$2:$A$33,'Jogos_MataMata'!$P$2:$P$33,""),win,XLOOKUP(C386,'Jogos_MataMata'!$A$2:$A$33,'Jogos_MataMata'!$Q$2:$Q$33,""),predWin,IF(G386&gt;H386,E386,IF(H386&gt;G386,F386,"")),IF(OR(hs="",as="",win=""),"",IF(predWin=win,IF(ABS(G386-H386)=ABS(hs-as),8,3),0))))</x:f>
      </x:c>
    </x:row>
    <x:row r="387">
      <x:c r="A387" s="21" t="str"/>
      <x:c r="B387" s="22" t="str"/>
      <x:c r="C387" s="22" t="str"/>
      <x:c r="D387" s="22" t="str">
        <x:f>IF(C387="","",XLOOKUP(C387,'Jogos_MataMata'!$A$2:$A$33,'Jogos_MataMata'!$B$2:$B$33,""))</x:f>
      </x:c>
      <x:c r="E387" s="22" t="str">
        <x:f>IF(C387="","",XLOOKUP(C387,'Jogos_MataMata'!$A$2:$A$33,'Jogos_MataMata'!$J$2:$J$33,""))</x:f>
      </x:c>
      <x:c r="F387" s="22" t="str">
        <x:f>IF(C387="","",XLOOKUP(C387,'Jogos_MataMata'!$A$2:$A$33,'Jogos_MataMata'!$K$2:$K$33,""))</x:f>
      </x:c>
      <x:c r="G387" s="22" t="str"/>
      <x:c r="H387" s="22" t="str"/>
      <x:c r="I387" s="22" t="str">
        <x:f>IF(AND(G387&lt;&gt;"",H387&lt;&gt;""),"SIM","NAO")</x:f>
        <x:v>NAO</x:v>
      </x:c>
      <x:c r="J387" s="23" t="str">
        <x:f>IF(OR(C387="",G387="",H387=""),"",LET(hs,XLOOKUP(C387,'Jogos_MataMata'!$A$2:$A$33,'Jogos_MataMata'!$O$2:$O$33,""),as,XLOOKUP(C387,'Jogos_MataMata'!$A$2:$A$33,'Jogos_MataMata'!$P$2:$P$33,""),win,XLOOKUP(C387,'Jogos_MataMata'!$A$2:$A$33,'Jogos_MataMata'!$Q$2:$Q$33,""),predWin,IF(G387&gt;H387,E387,IF(H387&gt;G387,F387,"")),IF(OR(hs="",as="",win=""),"",IF(predWin=win,IF(ABS(G387-H387)=ABS(hs-as),8,3),0))))</x:f>
      </x:c>
    </x:row>
    <x:row r="388">
      <x:c r="A388" s="21" t="str"/>
      <x:c r="B388" s="22" t="str"/>
      <x:c r="C388" s="22" t="str"/>
      <x:c r="D388" s="22" t="str">
        <x:f>IF(C388="","",XLOOKUP(C388,'Jogos_MataMata'!$A$2:$A$33,'Jogos_MataMata'!$B$2:$B$33,""))</x:f>
      </x:c>
      <x:c r="E388" s="22" t="str">
        <x:f>IF(C388="","",XLOOKUP(C388,'Jogos_MataMata'!$A$2:$A$33,'Jogos_MataMata'!$J$2:$J$33,""))</x:f>
      </x:c>
      <x:c r="F388" s="22" t="str">
        <x:f>IF(C388="","",XLOOKUP(C388,'Jogos_MataMata'!$A$2:$A$33,'Jogos_MataMata'!$K$2:$K$33,""))</x:f>
      </x:c>
      <x:c r="G388" s="22" t="str"/>
      <x:c r="H388" s="22" t="str"/>
      <x:c r="I388" s="22" t="str">
        <x:f>IF(AND(G388&lt;&gt;"",H388&lt;&gt;""),"SIM","NAO")</x:f>
        <x:v>NAO</x:v>
      </x:c>
      <x:c r="J388" s="23" t="str">
        <x:f>IF(OR(C388="",G388="",H388=""),"",LET(hs,XLOOKUP(C388,'Jogos_MataMata'!$A$2:$A$33,'Jogos_MataMata'!$O$2:$O$33,""),as,XLOOKUP(C388,'Jogos_MataMata'!$A$2:$A$33,'Jogos_MataMata'!$P$2:$P$33,""),win,XLOOKUP(C388,'Jogos_MataMata'!$A$2:$A$33,'Jogos_MataMata'!$Q$2:$Q$33,""),predWin,IF(G388&gt;H388,E388,IF(H388&gt;G388,F388,"")),IF(OR(hs="",as="",win=""),"",IF(predWin=win,IF(ABS(G388-H388)=ABS(hs-as),8,3),0))))</x:f>
      </x:c>
    </x:row>
    <x:row r="389">
      <x:c r="A389" s="21" t="str"/>
      <x:c r="B389" s="22" t="str"/>
      <x:c r="C389" s="22" t="str"/>
      <x:c r="D389" s="22" t="str">
        <x:f>IF(C389="","",XLOOKUP(C389,'Jogos_MataMata'!$A$2:$A$33,'Jogos_MataMata'!$B$2:$B$33,""))</x:f>
      </x:c>
      <x:c r="E389" s="22" t="str">
        <x:f>IF(C389="","",XLOOKUP(C389,'Jogos_MataMata'!$A$2:$A$33,'Jogos_MataMata'!$J$2:$J$33,""))</x:f>
      </x:c>
      <x:c r="F389" s="22" t="str">
        <x:f>IF(C389="","",XLOOKUP(C389,'Jogos_MataMata'!$A$2:$A$33,'Jogos_MataMata'!$K$2:$K$33,""))</x:f>
      </x:c>
      <x:c r="G389" s="22" t="str"/>
      <x:c r="H389" s="22" t="str"/>
      <x:c r="I389" s="22" t="str">
        <x:f>IF(AND(G389&lt;&gt;"",H389&lt;&gt;""),"SIM","NAO")</x:f>
        <x:v>NAO</x:v>
      </x:c>
      <x:c r="J389" s="23" t="str">
        <x:f>IF(OR(C389="",G389="",H389=""),"",LET(hs,XLOOKUP(C389,'Jogos_MataMata'!$A$2:$A$33,'Jogos_MataMata'!$O$2:$O$33,""),as,XLOOKUP(C389,'Jogos_MataMata'!$A$2:$A$33,'Jogos_MataMata'!$P$2:$P$33,""),win,XLOOKUP(C389,'Jogos_MataMata'!$A$2:$A$33,'Jogos_MataMata'!$Q$2:$Q$33,""),predWin,IF(G389&gt;H389,E389,IF(H389&gt;G389,F389,"")),IF(OR(hs="",as="",win=""),"",IF(predWin=win,IF(ABS(G389-H389)=ABS(hs-as),8,3),0))))</x:f>
      </x:c>
    </x:row>
    <x:row r="390">
      <x:c r="A390" s="21" t="str"/>
      <x:c r="B390" s="22" t="str"/>
      <x:c r="C390" s="22" t="str"/>
      <x:c r="D390" s="22" t="str">
        <x:f>IF(C390="","",XLOOKUP(C390,'Jogos_MataMata'!$A$2:$A$33,'Jogos_MataMata'!$B$2:$B$33,""))</x:f>
      </x:c>
      <x:c r="E390" s="22" t="str">
        <x:f>IF(C390="","",XLOOKUP(C390,'Jogos_MataMata'!$A$2:$A$33,'Jogos_MataMata'!$J$2:$J$33,""))</x:f>
      </x:c>
      <x:c r="F390" s="22" t="str">
        <x:f>IF(C390="","",XLOOKUP(C390,'Jogos_MataMata'!$A$2:$A$33,'Jogos_MataMata'!$K$2:$K$33,""))</x:f>
      </x:c>
      <x:c r="G390" s="22" t="str"/>
      <x:c r="H390" s="22" t="str"/>
      <x:c r="I390" s="22" t="str">
        <x:f>IF(AND(G390&lt;&gt;"",H390&lt;&gt;""),"SIM","NAO")</x:f>
        <x:v>NAO</x:v>
      </x:c>
      <x:c r="J390" s="23" t="str">
        <x:f>IF(OR(C390="",G390="",H390=""),"",LET(hs,XLOOKUP(C390,'Jogos_MataMata'!$A$2:$A$33,'Jogos_MataMata'!$O$2:$O$33,""),as,XLOOKUP(C390,'Jogos_MataMata'!$A$2:$A$33,'Jogos_MataMata'!$P$2:$P$33,""),win,XLOOKUP(C390,'Jogos_MataMata'!$A$2:$A$33,'Jogos_MataMata'!$Q$2:$Q$33,""),predWin,IF(G390&gt;H390,E390,IF(H390&gt;G390,F390,"")),IF(OR(hs="",as="",win=""),"",IF(predWin=win,IF(ABS(G390-H390)=ABS(hs-as),8,3),0))))</x:f>
      </x:c>
    </x:row>
    <x:row r="391">
      <x:c r="A391" s="21" t="str"/>
      <x:c r="B391" s="22" t="str"/>
      <x:c r="C391" s="22" t="str"/>
      <x:c r="D391" s="22" t="str">
        <x:f>IF(C391="","",XLOOKUP(C391,'Jogos_MataMata'!$A$2:$A$33,'Jogos_MataMata'!$B$2:$B$33,""))</x:f>
      </x:c>
      <x:c r="E391" s="22" t="str">
        <x:f>IF(C391="","",XLOOKUP(C391,'Jogos_MataMata'!$A$2:$A$33,'Jogos_MataMata'!$J$2:$J$33,""))</x:f>
      </x:c>
      <x:c r="F391" s="22" t="str">
        <x:f>IF(C391="","",XLOOKUP(C391,'Jogos_MataMata'!$A$2:$A$33,'Jogos_MataMata'!$K$2:$K$33,""))</x:f>
      </x:c>
      <x:c r="G391" s="22" t="str"/>
      <x:c r="H391" s="22" t="str"/>
      <x:c r="I391" s="22" t="str">
        <x:f>IF(AND(G391&lt;&gt;"",H391&lt;&gt;""),"SIM","NAO")</x:f>
        <x:v>NAO</x:v>
      </x:c>
      <x:c r="J391" s="23" t="str">
        <x:f>IF(OR(C391="",G391="",H391=""),"",LET(hs,XLOOKUP(C391,'Jogos_MataMata'!$A$2:$A$33,'Jogos_MataMata'!$O$2:$O$33,""),as,XLOOKUP(C391,'Jogos_MataMata'!$A$2:$A$33,'Jogos_MataMata'!$P$2:$P$33,""),win,XLOOKUP(C391,'Jogos_MataMata'!$A$2:$A$33,'Jogos_MataMata'!$Q$2:$Q$33,""),predWin,IF(G391&gt;H391,E391,IF(H391&gt;G391,F391,"")),IF(OR(hs="",as="",win=""),"",IF(predWin=win,IF(ABS(G391-H391)=ABS(hs-as),8,3),0))))</x:f>
      </x:c>
    </x:row>
    <x:row r="392">
      <x:c r="A392" s="21" t="str"/>
      <x:c r="B392" s="22" t="str"/>
      <x:c r="C392" s="22" t="str"/>
      <x:c r="D392" s="22" t="str">
        <x:f>IF(C392="","",XLOOKUP(C392,'Jogos_MataMata'!$A$2:$A$33,'Jogos_MataMata'!$B$2:$B$33,""))</x:f>
      </x:c>
      <x:c r="E392" s="22" t="str">
        <x:f>IF(C392="","",XLOOKUP(C392,'Jogos_MataMata'!$A$2:$A$33,'Jogos_MataMata'!$J$2:$J$33,""))</x:f>
      </x:c>
      <x:c r="F392" s="22" t="str">
        <x:f>IF(C392="","",XLOOKUP(C392,'Jogos_MataMata'!$A$2:$A$33,'Jogos_MataMata'!$K$2:$K$33,""))</x:f>
      </x:c>
      <x:c r="G392" s="22" t="str"/>
      <x:c r="H392" s="22" t="str"/>
      <x:c r="I392" s="22" t="str">
        <x:f>IF(AND(G392&lt;&gt;"",H392&lt;&gt;""),"SIM","NAO")</x:f>
        <x:v>NAO</x:v>
      </x:c>
      <x:c r="J392" s="23" t="str">
        <x:f>IF(OR(C392="",G392="",H392=""),"",LET(hs,XLOOKUP(C392,'Jogos_MataMata'!$A$2:$A$33,'Jogos_MataMata'!$O$2:$O$33,""),as,XLOOKUP(C392,'Jogos_MataMata'!$A$2:$A$33,'Jogos_MataMata'!$P$2:$P$33,""),win,XLOOKUP(C392,'Jogos_MataMata'!$A$2:$A$33,'Jogos_MataMata'!$Q$2:$Q$33,""),predWin,IF(G392&gt;H392,E392,IF(H392&gt;G392,F392,"")),IF(OR(hs="",as="",win=""),"",IF(predWin=win,IF(ABS(G392-H392)=ABS(hs-as),8,3),0))))</x:f>
      </x:c>
    </x:row>
    <x:row r="393">
      <x:c r="A393" s="21" t="str"/>
      <x:c r="B393" s="22" t="str"/>
      <x:c r="C393" s="22" t="str"/>
      <x:c r="D393" s="22" t="str">
        <x:f>IF(C393="","",XLOOKUP(C393,'Jogos_MataMata'!$A$2:$A$33,'Jogos_MataMata'!$B$2:$B$33,""))</x:f>
      </x:c>
      <x:c r="E393" s="22" t="str">
        <x:f>IF(C393="","",XLOOKUP(C393,'Jogos_MataMata'!$A$2:$A$33,'Jogos_MataMata'!$J$2:$J$33,""))</x:f>
      </x:c>
      <x:c r="F393" s="22" t="str">
        <x:f>IF(C393="","",XLOOKUP(C393,'Jogos_MataMata'!$A$2:$A$33,'Jogos_MataMata'!$K$2:$K$33,""))</x:f>
      </x:c>
      <x:c r="G393" s="22" t="str"/>
      <x:c r="H393" s="22" t="str"/>
      <x:c r="I393" s="22" t="str">
        <x:f>IF(AND(G393&lt;&gt;"",H393&lt;&gt;""),"SIM","NAO")</x:f>
        <x:v>NAO</x:v>
      </x:c>
      <x:c r="J393" s="23" t="str">
        <x:f>IF(OR(C393="",G393="",H393=""),"",LET(hs,XLOOKUP(C393,'Jogos_MataMata'!$A$2:$A$33,'Jogos_MataMata'!$O$2:$O$33,""),as,XLOOKUP(C393,'Jogos_MataMata'!$A$2:$A$33,'Jogos_MataMata'!$P$2:$P$33,""),win,XLOOKUP(C393,'Jogos_MataMata'!$A$2:$A$33,'Jogos_MataMata'!$Q$2:$Q$33,""),predWin,IF(G393&gt;H393,E393,IF(H393&gt;G393,F393,"")),IF(OR(hs="",as="",win=""),"",IF(predWin=win,IF(ABS(G393-H393)=ABS(hs-as),8,3),0))))</x:f>
      </x:c>
    </x:row>
    <x:row r="394">
      <x:c r="A394" s="21" t="str"/>
      <x:c r="B394" s="22" t="str"/>
      <x:c r="C394" s="22" t="str"/>
      <x:c r="D394" s="22" t="str">
        <x:f>IF(C394="","",XLOOKUP(C394,'Jogos_MataMata'!$A$2:$A$33,'Jogos_MataMata'!$B$2:$B$33,""))</x:f>
      </x:c>
      <x:c r="E394" s="22" t="str">
        <x:f>IF(C394="","",XLOOKUP(C394,'Jogos_MataMata'!$A$2:$A$33,'Jogos_MataMata'!$J$2:$J$33,""))</x:f>
      </x:c>
      <x:c r="F394" s="22" t="str">
        <x:f>IF(C394="","",XLOOKUP(C394,'Jogos_MataMata'!$A$2:$A$33,'Jogos_MataMata'!$K$2:$K$33,""))</x:f>
      </x:c>
      <x:c r="G394" s="22" t="str"/>
      <x:c r="H394" s="22" t="str"/>
      <x:c r="I394" s="22" t="str">
        <x:f>IF(AND(G394&lt;&gt;"",H394&lt;&gt;""),"SIM","NAO")</x:f>
        <x:v>NAO</x:v>
      </x:c>
      <x:c r="J394" s="23" t="str">
        <x:f>IF(OR(C394="",G394="",H394=""),"",LET(hs,XLOOKUP(C394,'Jogos_MataMata'!$A$2:$A$33,'Jogos_MataMata'!$O$2:$O$33,""),as,XLOOKUP(C394,'Jogos_MataMata'!$A$2:$A$33,'Jogos_MataMata'!$P$2:$P$33,""),win,XLOOKUP(C394,'Jogos_MataMata'!$A$2:$A$33,'Jogos_MataMata'!$Q$2:$Q$33,""),predWin,IF(G394&gt;H394,E394,IF(H394&gt;G394,F394,"")),IF(OR(hs="",as="",win=""),"",IF(predWin=win,IF(ABS(G394-H394)=ABS(hs-as),8,3),0))))</x:f>
      </x:c>
    </x:row>
    <x:row r="395">
      <x:c r="A395" s="21" t="str"/>
      <x:c r="B395" s="22" t="str"/>
      <x:c r="C395" s="22" t="str"/>
      <x:c r="D395" s="22" t="str">
        <x:f>IF(C395="","",XLOOKUP(C395,'Jogos_MataMata'!$A$2:$A$33,'Jogos_MataMata'!$B$2:$B$33,""))</x:f>
      </x:c>
      <x:c r="E395" s="22" t="str">
        <x:f>IF(C395="","",XLOOKUP(C395,'Jogos_MataMata'!$A$2:$A$33,'Jogos_MataMata'!$J$2:$J$33,""))</x:f>
      </x:c>
      <x:c r="F395" s="22" t="str">
        <x:f>IF(C395="","",XLOOKUP(C395,'Jogos_MataMata'!$A$2:$A$33,'Jogos_MataMata'!$K$2:$K$33,""))</x:f>
      </x:c>
      <x:c r="G395" s="22" t="str"/>
      <x:c r="H395" s="22" t="str"/>
      <x:c r="I395" s="22" t="str">
        <x:f>IF(AND(G395&lt;&gt;"",H395&lt;&gt;""),"SIM","NAO")</x:f>
        <x:v>NAO</x:v>
      </x:c>
      <x:c r="J395" s="23" t="str">
        <x:f>IF(OR(C395="",G395="",H395=""),"",LET(hs,XLOOKUP(C395,'Jogos_MataMata'!$A$2:$A$33,'Jogos_MataMata'!$O$2:$O$33,""),as,XLOOKUP(C395,'Jogos_MataMata'!$A$2:$A$33,'Jogos_MataMata'!$P$2:$P$33,""),win,XLOOKUP(C395,'Jogos_MataMata'!$A$2:$A$33,'Jogos_MataMata'!$Q$2:$Q$33,""),predWin,IF(G395&gt;H395,E395,IF(H395&gt;G395,F395,"")),IF(OR(hs="",as="",win=""),"",IF(predWin=win,IF(ABS(G395-H395)=ABS(hs-as),8,3),0))))</x:f>
      </x:c>
    </x:row>
    <x:row r="396">
      <x:c r="A396" s="21" t="str"/>
      <x:c r="B396" s="22" t="str"/>
      <x:c r="C396" s="22" t="str"/>
      <x:c r="D396" s="22" t="str">
        <x:f>IF(C396="","",XLOOKUP(C396,'Jogos_MataMata'!$A$2:$A$33,'Jogos_MataMata'!$B$2:$B$33,""))</x:f>
      </x:c>
      <x:c r="E396" s="22" t="str">
        <x:f>IF(C396="","",XLOOKUP(C396,'Jogos_MataMata'!$A$2:$A$33,'Jogos_MataMata'!$J$2:$J$33,""))</x:f>
      </x:c>
      <x:c r="F396" s="22" t="str">
        <x:f>IF(C396="","",XLOOKUP(C396,'Jogos_MataMata'!$A$2:$A$33,'Jogos_MataMata'!$K$2:$K$33,""))</x:f>
      </x:c>
      <x:c r="G396" s="22" t="str"/>
      <x:c r="H396" s="22" t="str"/>
      <x:c r="I396" s="22" t="str">
        <x:f>IF(AND(G396&lt;&gt;"",H396&lt;&gt;""),"SIM","NAO")</x:f>
        <x:v>NAO</x:v>
      </x:c>
      <x:c r="J396" s="23" t="str">
        <x:f>IF(OR(C396="",G396="",H396=""),"",LET(hs,XLOOKUP(C396,'Jogos_MataMata'!$A$2:$A$33,'Jogos_MataMata'!$O$2:$O$33,""),as,XLOOKUP(C396,'Jogos_MataMata'!$A$2:$A$33,'Jogos_MataMata'!$P$2:$P$33,""),win,XLOOKUP(C396,'Jogos_MataMata'!$A$2:$A$33,'Jogos_MataMata'!$Q$2:$Q$33,""),predWin,IF(G396&gt;H396,E396,IF(H396&gt;G396,F396,"")),IF(OR(hs="",as="",win=""),"",IF(predWin=win,IF(ABS(G396-H396)=ABS(hs-as),8,3),0))))</x:f>
      </x:c>
    </x:row>
    <x:row r="397">
      <x:c r="A397" s="21" t="str"/>
      <x:c r="B397" s="22" t="str"/>
      <x:c r="C397" s="22" t="str"/>
      <x:c r="D397" s="22" t="str">
        <x:f>IF(C397="","",XLOOKUP(C397,'Jogos_MataMata'!$A$2:$A$33,'Jogos_MataMata'!$B$2:$B$33,""))</x:f>
      </x:c>
      <x:c r="E397" s="22" t="str">
        <x:f>IF(C397="","",XLOOKUP(C397,'Jogos_MataMata'!$A$2:$A$33,'Jogos_MataMata'!$J$2:$J$33,""))</x:f>
      </x:c>
      <x:c r="F397" s="22" t="str">
        <x:f>IF(C397="","",XLOOKUP(C397,'Jogos_MataMata'!$A$2:$A$33,'Jogos_MataMata'!$K$2:$K$33,""))</x:f>
      </x:c>
      <x:c r="G397" s="22" t="str"/>
      <x:c r="H397" s="22" t="str"/>
      <x:c r="I397" s="22" t="str">
        <x:f>IF(AND(G397&lt;&gt;"",H397&lt;&gt;""),"SIM","NAO")</x:f>
        <x:v>NAO</x:v>
      </x:c>
      <x:c r="J397" s="23" t="str">
        <x:f>IF(OR(C397="",G397="",H397=""),"",LET(hs,XLOOKUP(C397,'Jogos_MataMata'!$A$2:$A$33,'Jogos_MataMata'!$O$2:$O$33,""),as,XLOOKUP(C397,'Jogos_MataMata'!$A$2:$A$33,'Jogos_MataMata'!$P$2:$P$33,""),win,XLOOKUP(C397,'Jogos_MataMata'!$A$2:$A$33,'Jogos_MataMata'!$Q$2:$Q$33,""),predWin,IF(G397&gt;H397,E397,IF(H397&gt;G397,F397,"")),IF(OR(hs="",as="",win=""),"",IF(predWin=win,IF(ABS(G397-H397)=ABS(hs-as),8,3),0))))</x:f>
      </x:c>
    </x:row>
    <x:row r="398">
      <x:c r="A398" s="21" t="str"/>
      <x:c r="B398" s="22" t="str"/>
      <x:c r="C398" s="22" t="str"/>
      <x:c r="D398" s="22" t="str">
        <x:f>IF(C398="","",XLOOKUP(C398,'Jogos_MataMata'!$A$2:$A$33,'Jogos_MataMata'!$B$2:$B$33,""))</x:f>
      </x:c>
      <x:c r="E398" s="22" t="str">
        <x:f>IF(C398="","",XLOOKUP(C398,'Jogos_MataMata'!$A$2:$A$33,'Jogos_MataMata'!$J$2:$J$33,""))</x:f>
      </x:c>
      <x:c r="F398" s="22" t="str">
        <x:f>IF(C398="","",XLOOKUP(C398,'Jogos_MataMata'!$A$2:$A$33,'Jogos_MataMata'!$K$2:$K$33,""))</x:f>
      </x:c>
      <x:c r="G398" s="22" t="str"/>
      <x:c r="H398" s="22" t="str"/>
      <x:c r="I398" s="22" t="str">
        <x:f>IF(AND(G398&lt;&gt;"",H398&lt;&gt;""),"SIM","NAO")</x:f>
        <x:v>NAO</x:v>
      </x:c>
      <x:c r="J398" s="23" t="str">
        <x:f>IF(OR(C398="",G398="",H398=""),"",LET(hs,XLOOKUP(C398,'Jogos_MataMata'!$A$2:$A$33,'Jogos_MataMata'!$O$2:$O$33,""),as,XLOOKUP(C398,'Jogos_MataMata'!$A$2:$A$33,'Jogos_MataMata'!$P$2:$P$33,""),win,XLOOKUP(C398,'Jogos_MataMata'!$A$2:$A$33,'Jogos_MataMata'!$Q$2:$Q$33,""),predWin,IF(G398&gt;H398,E398,IF(H398&gt;G398,F398,"")),IF(OR(hs="",as="",win=""),"",IF(predWin=win,IF(ABS(G398-H398)=ABS(hs-as),8,3),0))))</x:f>
      </x:c>
    </x:row>
    <x:row r="399">
      <x:c r="A399" s="21" t="str"/>
      <x:c r="B399" s="22" t="str"/>
      <x:c r="C399" s="22" t="str"/>
      <x:c r="D399" s="22" t="str">
        <x:f>IF(C399="","",XLOOKUP(C399,'Jogos_MataMata'!$A$2:$A$33,'Jogos_MataMata'!$B$2:$B$33,""))</x:f>
      </x:c>
      <x:c r="E399" s="22" t="str">
        <x:f>IF(C399="","",XLOOKUP(C399,'Jogos_MataMata'!$A$2:$A$33,'Jogos_MataMata'!$J$2:$J$33,""))</x:f>
      </x:c>
      <x:c r="F399" s="22" t="str">
        <x:f>IF(C399="","",XLOOKUP(C399,'Jogos_MataMata'!$A$2:$A$33,'Jogos_MataMata'!$K$2:$K$33,""))</x:f>
      </x:c>
      <x:c r="G399" s="22" t="str"/>
      <x:c r="H399" s="22" t="str"/>
      <x:c r="I399" s="22" t="str">
        <x:f>IF(AND(G399&lt;&gt;"",H399&lt;&gt;""),"SIM","NAO")</x:f>
        <x:v>NAO</x:v>
      </x:c>
      <x:c r="J399" s="23" t="str">
        <x:f>IF(OR(C399="",G399="",H399=""),"",LET(hs,XLOOKUP(C399,'Jogos_MataMata'!$A$2:$A$33,'Jogos_MataMata'!$O$2:$O$33,""),as,XLOOKUP(C399,'Jogos_MataMata'!$A$2:$A$33,'Jogos_MataMata'!$P$2:$P$33,""),win,XLOOKUP(C399,'Jogos_MataMata'!$A$2:$A$33,'Jogos_MataMata'!$Q$2:$Q$33,""),predWin,IF(G399&gt;H399,E399,IF(H399&gt;G399,F399,"")),IF(OR(hs="",as="",win=""),"",IF(predWin=win,IF(ABS(G399-H399)=ABS(hs-as),8,3),0))))</x:f>
      </x:c>
    </x:row>
    <x:row r="400">
      <x:c r="A400" s="21" t="str"/>
      <x:c r="B400" s="22" t="str"/>
      <x:c r="C400" s="22" t="str"/>
      <x:c r="D400" s="22" t="str">
        <x:f>IF(C400="","",XLOOKUP(C400,'Jogos_MataMata'!$A$2:$A$33,'Jogos_MataMata'!$B$2:$B$33,""))</x:f>
      </x:c>
      <x:c r="E400" s="22" t="str">
        <x:f>IF(C400="","",XLOOKUP(C400,'Jogos_MataMata'!$A$2:$A$33,'Jogos_MataMata'!$J$2:$J$33,""))</x:f>
      </x:c>
      <x:c r="F400" s="22" t="str">
        <x:f>IF(C400="","",XLOOKUP(C400,'Jogos_MataMata'!$A$2:$A$33,'Jogos_MataMata'!$K$2:$K$33,""))</x:f>
      </x:c>
      <x:c r="G400" s="22" t="str"/>
      <x:c r="H400" s="22" t="str"/>
      <x:c r="I400" s="22" t="str">
        <x:f>IF(AND(G400&lt;&gt;"",H400&lt;&gt;""),"SIM","NAO")</x:f>
        <x:v>NAO</x:v>
      </x:c>
      <x:c r="J400" s="23" t="str">
        <x:f>IF(OR(C400="",G400="",H400=""),"",LET(hs,XLOOKUP(C400,'Jogos_MataMata'!$A$2:$A$33,'Jogos_MataMata'!$O$2:$O$33,""),as,XLOOKUP(C400,'Jogos_MataMata'!$A$2:$A$33,'Jogos_MataMata'!$P$2:$P$33,""),win,XLOOKUP(C400,'Jogos_MataMata'!$A$2:$A$33,'Jogos_MataMata'!$Q$2:$Q$33,""),predWin,IF(G400&gt;H400,E400,IF(H400&gt;G400,F400,"")),IF(OR(hs="",as="",win=""),"",IF(predWin=win,IF(ABS(G400-H400)=ABS(hs-as),8,3),0))))</x:f>
      </x:c>
    </x:row>
    <x:row r="401">
      <x:c r="A401" s="24" t="str"/>
      <x:c r="B401" s="25" t="str"/>
      <x:c r="C401" s="25" t="str"/>
      <x:c r="D401" s="25" t="str">
        <x:f>IF(C401="","",XLOOKUP(C401,'Jogos_MataMata'!$A$2:$A$33,'Jogos_MataMata'!$B$2:$B$33,""))</x:f>
      </x:c>
      <x:c r="E401" s="25" t="str">
        <x:f>IF(C401="","",XLOOKUP(C401,'Jogos_MataMata'!$A$2:$A$33,'Jogos_MataMata'!$J$2:$J$33,""))</x:f>
      </x:c>
      <x:c r="F401" s="25" t="str">
        <x:f>IF(C401="","",XLOOKUP(C401,'Jogos_MataMata'!$A$2:$A$33,'Jogos_MataMata'!$K$2:$K$33,""))</x:f>
      </x:c>
      <x:c r="G401" s="25" t="str"/>
      <x:c r="H401" s="25" t="str"/>
      <x:c r="I401" s="25" t="str">
        <x:f>IF(AND(G401&lt;&gt;"",H401&lt;&gt;""),"SIM","NAO")</x:f>
        <x:v>NAO</x:v>
      </x:c>
      <x:c r="J401" s="26" t="str">
        <x:f>IF(OR(C401="",G401="",H401=""),"",LET(hs,XLOOKUP(C401,'Jogos_MataMata'!$A$2:$A$33,'Jogos_MataMata'!$O$2:$O$33,""),as,XLOOKUP(C401,'Jogos_MataMata'!$A$2:$A$33,'Jogos_MataMata'!$P$2:$P$33,""),win,XLOOKUP(C401,'Jogos_MataMata'!$A$2:$A$33,'Jogos_MataMata'!$Q$2:$Q$33,""),predWin,IF(G401&gt;H401,E401,IF(H401&gt;G401,F401,"")),IF(OR(hs="",as="",win=""),"",IF(predWin=win,IF(ABS(G401-H401)=ABS(hs-as),8,3),0))))</x:f>
      </x:c>
    </x:row>
  </x:sheetData>
  <x:dataValidations count="2">
    <x:dataValidation type="list" sqref="C2:C401">
      <x:formula1>'Jogos_MataMata'!$A$2:$A$33</x:formula1>
    </x:dataValidation>
    <x:dataValidation type="whole" operator="between" sqref="G2:H401">
      <x:formula1>0</x:formula1>
      <x:formula2>20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4.630000114440918" hidden="0" customWidth="1"/>
  </x:cols>
  <x:sheetData>
    <x:row r="1">
      <x:c r="A1" s="32" t="str">
        <x:v>Resumo Mata-Mata</x:v>
      </x:c>
    </x:row>
    <x:row r="3">
      <x:c r="A3" s="33" t="str">
        <x:v>Jogos finalizados</x:v>
      </x:c>
      <x:c r="B3" s="35" t="n">
        <x:f>COUNTIF('Jogos_MataMata'!$S$2:$S$33,"Finalizado")</x:f>
        <x:v>0</x:v>
      </x:c>
    </x:row>
    <x:row r="4">
      <x:c r="A4" s="33" t="str">
        <x:v>Jogos abertos</x:v>
      </x:c>
      <x:c r="B4" s="35" t="n">
        <x:f>COUNTIF('Jogos_MataMata'!$S$2:$S$33,"Aberto")</x:f>
        <x:v>9</x:v>
      </x:c>
    </x:row>
    <x:row r="5">
      <x:c r="A5" s="33" t="str">
        <x:v>Palpites preenchidos</x:v>
      </x:c>
      <x:c r="B5" s="35" t="n">
        <x:f>COUNTA('Palpites_MataMata'!$C$2:$C$401)</x:f>
        <x:v>400</x:v>
      </x:c>
    </x:row>
    <x:row r="6">
      <x:c r="A6" s="33" t="str">
        <x:v>Palpites travados</x:v>
      </x:c>
      <x:c r="B6" s="35" t="n">
        <x:f>COUNTIF('Palpites_MataMata'!$I$2:$I$401,"SIM")</x:f>
        <x:v>0</x:v>
      </x:c>
    </x:row>
    <x:row r="7">
      <x:c r="A7" s="33" t="str">
        <x:v>Pontos distribuídos</x:v>
      </x:c>
      <x:c r="B7" s="35" t="n">
        <x:f>SUM('Palpites_MataMata'!$J$2:$J$401)</x:f>
        <x:v>0</x:v>
      </x:c>
    </x:row>
    <x:row r="8">
      <x:c r="A8" s="33" t="str">
        <x:v>Líder mata-mata</x:v>
      </x:c>
      <x:c r="B8" s="35" t="str">
        <x:v>ver ranking no site</x:v>
      </x:c>
    </x:row>
  </x:sheetData>
  <x:mergeCells>
    <x:mergeCell ref="A1:F1"/>
  </x:mergeCells>
  <x:pageMargins left="0.7" right="0.7" top="0.75" bottom="0.75" header="0.3" footer="0.3"/>
</x:worksheet>
</file>